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pivotTables/pivotTable10.xml" ContentType="application/vnd.openxmlformats-officedocument.spreadsheetml.pivot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pivotTables/pivotTable11.xml" ContentType="application/vnd.openxmlformats-officedocument.spreadsheetml.pivot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F:\lajur-agentic-spec\tests\workbook-fixtures\"/>
    </mc:Choice>
  </mc:AlternateContent>
  <xr:revisionPtr revIDLastSave="0" documentId="13_ncr:1_{24483444-81A5-4823-8BEA-B2A93C50A2C4}" xr6:coauthVersionLast="47" xr6:coauthVersionMax="47" xr10:uidLastSave="{00000000-0000-0000-0000-000000000000}"/>
  <bookViews>
    <workbookView xWindow="-120" yWindow="-120" windowWidth="29040" windowHeight="15720" firstSheet="1" activeTab="12" xr2:uid="{00000000-000D-0000-FFFF-FFFF00000000}"/>
  </bookViews>
  <sheets>
    <sheet name="Rekap" sheetId="1" r:id="rId1"/>
    <sheet name="Jan" sheetId="2" r:id="rId2"/>
    <sheet name="Feb" sheetId="3" r:id="rId3"/>
    <sheet name="Mar" sheetId="4" r:id="rId4"/>
    <sheet name="April" sheetId="5" r:id="rId5"/>
    <sheet name="May" sheetId="6" r:id="rId6"/>
    <sheet name="June" sheetId="7" r:id="rId7"/>
    <sheet name="July" sheetId="8" r:id="rId8"/>
    <sheet name="Aug" sheetId="9" r:id="rId9"/>
    <sheet name="Sep" sheetId="10" r:id="rId10"/>
    <sheet name="Okt" sheetId="11" r:id="rId11"/>
    <sheet name="Nov" sheetId="12" r:id="rId12"/>
    <sheet name="Des" sheetId="13" r:id="rId13"/>
    <sheet name="Master" sheetId="14" r:id="rId14"/>
  </sheets>
  <definedNames>
    <definedName name="ListKategori">OFFSET(Master!$A$5,0,0,COUNTA(Master!$A$5:$A$81),1)</definedName>
    <definedName name="ListPembayaran">OFFSET(Master!$G$5,0,0,COUNTA(Master!$G$5:$G$24),1)</definedName>
    <definedName name="ListTipe">Master!$E$5:$E$6</definedName>
  </definedNames>
  <calcPr calcId="191029" forceFullCalc="1"/>
  <pivotCaches>
    <pivotCache cacheId="160" r:id="rId15"/>
    <pivotCache cacheId="165" r:id="rId16"/>
    <pivotCache cacheId="170" r:id="rId17"/>
    <pivotCache cacheId="175" r:id="rId18"/>
    <pivotCache cacheId="180" r:id="rId19"/>
    <pivotCache cacheId="185" r:id="rId20"/>
    <pivotCache cacheId="190" r:id="rId21"/>
    <pivotCache cacheId="195" r:id="rId22"/>
    <pivotCache cacheId="200" r:id="rId23"/>
    <pivotCache cacheId="205" r:id="rId24"/>
    <pivotCache cacheId="210" r:id="rId25"/>
    <pivotCache cacheId="215" r:id="rId2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3" i="13" l="1"/>
  <c r="L43" i="13" s="1"/>
  <c r="K42" i="13"/>
  <c r="L42" i="13" s="1"/>
  <c r="K41" i="13"/>
  <c r="L41" i="13" s="1"/>
  <c r="K40" i="13"/>
  <c r="L40" i="13" s="1"/>
  <c r="K39" i="13"/>
  <c r="L39" i="13" s="1"/>
  <c r="K38" i="13"/>
  <c r="L38" i="13" s="1"/>
  <c r="K37" i="13"/>
  <c r="L37" i="13" s="1"/>
  <c r="K36" i="13"/>
  <c r="L36" i="13" s="1"/>
  <c r="AG32" i="13"/>
  <c r="AG31" i="13"/>
  <c r="M31" i="13"/>
  <c r="AG30" i="13"/>
  <c r="AG29" i="13"/>
  <c r="AG28" i="13"/>
  <c r="AG27" i="13"/>
  <c r="AG26" i="13"/>
  <c r="AG25" i="13"/>
  <c r="AG24" i="13"/>
  <c r="AJ23" i="13"/>
  <c r="AK23" i="13" s="1"/>
  <c r="AM23" i="13" s="1"/>
  <c r="AG23" i="13"/>
  <c r="AJ22" i="13"/>
  <c r="AL22" i="13" s="1"/>
  <c r="AG22" i="13"/>
  <c r="AJ21" i="13"/>
  <c r="AL21" i="13" s="1"/>
  <c r="AG21" i="13"/>
  <c r="AJ20" i="13"/>
  <c r="AK20" i="13" s="1"/>
  <c r="AM20" i="13" s="1"/>
  <c r="AG20" i="13"/>
  <c r="AJ19" i="13"/>
  <c r="AG19" i="13"/>
  <c r="AJ18" i="13"/>
  <c r="AG18" i="13"/>
  <c r="AJ17" i="13"/>
  <c r="AL17" i="13" s="1"/>
  <c r="AG17" i="13"/>
  <c r="AJ16" i="13"/>
  <c r="AG16" i="13"/>
  <c r="AJ15" i="13"/>
  <c r="AL15" i="13" s="1"/>
  <c r="AG15" i="13"/>
  <c r="AJ14" i="13"/>
  <c r="AG14" i="13"/>
  <c r="T14" i="13"/>
  <c r="S14" i="13"/>
  <c r="AJ13" i="13"/>
  <c r="AG13" i="13"/>
  <c r="T13" i="13"/>
  <c r="S13" i="13"/>
  <c r="AJ12" i="13"/>
  <c r="AK12" i="13" s="1"/>
  <c r="AM12" i="13" s="1"/>
  <c r="AG12" i="13"/>
  <c r="T12" i="13"/>
  <c r="S12" i="13"/>
  <c r="AJ11" i="13"/>
  <c r="AL11" i="13" s="1"/>
  <c r="AG11" i="13"/>
  <c r="AJ10" i="13"/>
  <c r="AK10" i="13" s="1"/>
  <c r="AM10" i="13" s="1"/>
  <c r="AG10" i="13"/>
  <c r="AJ9" i="13"/>
  <c r="AK9" i="13" s="1"/>
  <c r="AM9" i="13" s="1"/>
  <c r="AG9" i="13"/>
  <c r="AJ8" i="13"/>
  <c r="AG8" i="13"/>
  <c r="AJ7" i="13"/>
  <c r="AL7" i="13" s="1"/>
  <c r="AG7" i="13"/>
  <c r="AJ6" i="13"/>
  <c r="AG6" i="13"/>
  <c r="AD6" i="13"/>
  <c r="AJ5" i="13"/>
  <c r="AL5" i="13" s="1"/>
  <c r="AG5" i="13"/>
  <c r="N5" i="13"/>
  <c r="AJ4" i="13"/>
  <c r="AL4" i="13" s="1"/>
  <c r="AG4" i="13"/>
  <c r="N4" i="13"/>
  <c r="B4" i="13"/>
  <c r="AJ3" i="13"/>
  <c r="AK3" i="13" s="1"/>
  <c r="AM3" i="13" s="1"/>
  <c r="AG3" i="13"/>
  <c r="N3" i="13"/>
  <c r="M3" i="13"/>
  <c r="M6" i="13" s="1"/>
  <c r="D3" i="13"/>
  <c r="M27" i="13" s="1"/>
  <c r="AJ2" i="13"/>
  <c r="AL2" i="13" s="1"/>
  <c r="AG2" i="13"/>
  <c r="D2" i="13"/>
  <c r="M15" i="13" s="1"/>
  <c r="AJ1" i="13"/>
  <c r="AK1" i="13" s="1"/>
  <c r="AM1" i="13" s="1"/>
  <c r="AD1" i="13"/>
  <c r="AD2" i="13" s="1"/>
  <c r="AD3" i="13" s="1"/>
  <c r="M25" i="13" s="1"/>
  <c r="M32" i="13" s="1"/>
  <c r="K43" i="12"/>
  <c r="L43" i="12" s="1"/>
  <c r="K42" i="12"/>
  <c r="L42" i="12" s="1"/>
  <c r="K41" i="12"/>
  <c r="L41" i="12" s="1"/>
  <c r="K40" i="12"/>
  <c r="L40" i="12" s="1"/>
  <c r="K39" i="12"/>
  <c r="L39" i="12" s="1"/>
  <c r="K38" i="12"/>
  <c r="L38" i="12" s="1"/>
  <c r="K37" i="12"/>
  <c r="L37" i="12" s="1"/>
  <c r="K36" i="12"/>
  <c r="L36" i="12" s="1"/>
  <c r="AG32" i="12"/>
  <c r="AG31" i="12"/>
  <c r="M31" i="12"/>
  <c r="AG30" i="12"/>
  <c r="AG29" i="12"/>
  <c r="AG28" i="12"/>
  <c r="AG27" i="12"/>
  <c r="AG26" i="12"/>
  <c r="AG25" i="12"/>
  <c r="AG24" i="12"/>
  <c r="AJ23" i="12"/>
  <c r="AL23" i="12" s="1"/>
  <c r="AG23" i="12"/>
  <c r="AJ22" i="12"/>
  <c r="AL22" i="12" s="1"/>
  <c r="AG22" i="12"/>
  <c r="AJ21" i="12"/>
  <c r="AK21" i="12" s="1"/>
  <c r="AM21" i="12" s="1"/>
  <c r="AG21" i="12"/>
  <c r="AJ20" i="12"/>
  <c r="AL20" i="12" s="1"/>
  <c r="AG20" i="12"/>
  <c r="AJ19" i="12"/>
  <c r="AL19" i="12" s="1"/>
  <c r="AG19" i="12"/>
  <c r="AJ18" i="12"/>
  <c r="AG18" i="12"/>
  <c r="AJ17" i="12"/>
  <c r="AG17" i="12"/>
  <c r="AJ16" i="12"/>
  <c r="AL16" i="12" s="1"/>
  <c r="AG16" i="12"/>
  <c r="AJ15" i="12"/>
  <c r="AG15" i="12"/>
  <c r="AJ14" i="12"/>
  <c r="AG14" i="12"/>
  <c r="T14" i="12"/>
  <c r="S14" i="12"/>
  <c r="AJ13" i="12"/>
  <c r="AL13" i="12" s="1"/>
  <c r="AG13" i="12"/>
  <c r="T13" i="12"/>
  <c r="S13" i="12"/>
  <c r="AJ12" i="12"/>
  <c r="AL12" i="12" s="1"/>
  <c r="AG12" i="12"/>
  <c r="T12" i="12"/>
  <c r="S12" i="12"/>
  <c r="AJ11" i="12"/>
  <c r="AK11" i="12" s="1"/>
  <c r="AM11" i="12" s="1"/>
  <c r="AG11" i="12"/>
  <c r="AJ10" i="12"/>
  <c r="AL10" i="12" s="1"/>
  <c r="AG10" i="12"/>
  <c r="AJ9" i="12"/>
  <c r="AL9" i="12" s="1"/>
  <c r="AG9" i="12"/>
  <c r="AJ8" i="12"/>
  <c r="AL8" i="12" s="1"/>
  <c r="AG8" i="12"/>
  <c r="AJ7" i="12"/>
  <c r="AK7" i="12" s="1"/>
  <c r="AM7" i="12" s="1"/>
  <c r="AG7" i="12"/>
  <c r="AJ6" i="12"/>
  <c r="AL6" i="12" s="1"/>
  <c r="AG6" i="12"/>
  <c r="AD6" i="12"/>
  <c r="AD7" i="12" s="1"/>
  <c r="AJ5" i="12"/>
  <c r="AK5" i="12" s="1"/>
  <c r="AM5" i="12" s="1"/>
  <c r="AG5" i="12"/>
  <c r="N5" i="12"/>
  <c r="AJ4" i="12"/>
  <c r="AK4" i="12" s="1"/>
  <c r="AM4" i="12" s="1"/>
  <c r="AG4" i="12"/>
  <c r="N4" i="12"/>
  <c r="B4" i="12"/>
  <c r="AJ3" i="12"/>
  <c r="AL3" i="12" s="1"/>
  <c r="AG3" i="12"/>
  <c r="N3" i="12"/>
  <c r="M3" i="12"/>
  <c r="M6" i="12" s="1"/>
  <c r="D3" i="12"/>
  <c r="AJ2" i="12"/>
  <c r="AL2" i="12" s="1"/>
  <c r="AG2" i="12"/>
  <c r="D2" i="12"/>
  <c r="B3" i="12" s="1"/>
  <c r="B2" i="12"/>
  <c r="AJ1" i="12"/>
  <c r="AL1" i="12" s="1"/>
  <c r="AD1" i="12"/>
  <c r="K43" i="11"/>
  <c r="L43" i="11" s="1"/>
  <c r="K42" i="11"/>
  <c r="L42" i="11" s="1"/>
  <c r="K41" i="11"/>
  <c r="L41" i="11" s="1"/>
  <c r="K40" i="11"/>
  <c r="L40" i="11" s="1"/>
  <c r="K39" i="11"/>
  <c r="L39" i="11" s="1"/>
  <c r="K38" i="11"/>
  <c r="L38" i="11" s="1"/>
  <c r="K37" i="11"/>
  <c r="L37" i="11" s="1"/>
  <c r="K36" i="11"/>
  <c r="L36" i="11" s="1"/>
  <c r="AG32" i="11"/>
  <c r="AG31" i="11"/>
  <c r="M31" i="11"/>
  <c r="AG30" i="11"/>
  <c r="AG29" i="11"/>
  <c r="AG28" i="11"/>
  <c r="AG27" i="11"/>
  <c r="AG26" i="11"/>
  <c r="AG25" i="11"/>
  <c r="AG24" i="11"/>
  <c r="AJ23" i="11"/>
  <c r="AL23" i="11" s="1"/>
  <c r="AG23" i="11"/>
  <c r="AJ22" i="11"/>
  <c r="AG22" i="11"/>
  <c r="AJ21" i="11"/>
  <c r="AL21" i="11" s="1"/>
  <c r="AG21" i="11"/>
  <c r="AJ20" i="11"/>
  <c r="AL20" i="11" s="1"/>
  <c r="AG20" i="11"/>
  <c r="AJ19" i="11"/>
  <c r="AL19" i="11" s="1"/>
  <c r="AG19" i="11"/>
  <c r="AJ18" i="11"/>
  <c r="AK18" i="11" s="1"/>
  <c r="AM18" i="11" s="1"/>
  <c r="AG18" i="11"/>
  <c r="AJ17" i="11"/>
  <c r="AK17" i="11" s="1"/>
  <c r="AM17" i="11" s="1"/>
  <c r="AG17" i="11"/>
  <c r="AJ16" i="11"/>
  <c r="AL16" i="11" s="1"/>
  <c r="AG16" i="11"/>
  <c r="AJ15" i="11"/>
  <c r="AK15" i="11" s="1"/>
  <c r="AM15" i="11" s="1"/>
  <c r="AG15" i="11"/>
  <c r="AJ14" i="11"/>
  <c r="AK14" i="11" s="1"/>
  <c r="AM14" i="11" s="1"/>
  <c r="AG14" i="11"/>
  <c r="T14" i="11"/>
  <c r="S14" i="11"/>
  <c r="AJ13" i="11"/>
  <c r="AK13" i="11" s="1"/>
  <c r="AM13" i="11" s="1"/>
  <c r="AG13" i="11"/>
  <c r="T13" i="11"/>
  <c r="S13" i="11"/>
  <c r="AJ12" i="11"/>
  <c r="AL12" i="11" s="1"/>
  <c r="AG12" i="11"/>
  <c r="T12" i="11"/>
  <c r="S12" i="11"/>
  <c r="AJ11" i="11"/>
  <c r="AL11" i="11" s="1"/>
  <c r="AG11" i="11"/>
  <c r="AJ10" i="11"/>
  <c r="AL10" i="11" s="1"/>
  <c r="AG10" i="11"/>
  <c r="AJ9" i="11"/>
  <c r="AL9" i="11" s="1"/>
  <c r="AG9" i="11"/>
  <c r="AJ8" i="11"/>
  <c r="AL8" i="11" s="1"/>
  <c r="AG8" i="11"/>
  <c r="AJ7" i="11"/>
  <c r="AL7" i="11" s="1"/>
  <c r="AG7" i="11"/>
  <c r="AJ6" i="11"/>
  <c r="AL6" i="11" s="1"/>
  <c r="AG6" i="11"/>
  <c r="AD6" i="11"/>
  <c r="AD7" i="11" s="1"/>
  <c r="AJ5" i="11"/>
  <c r="AL5" i="11" s="1"/>
  <c r="AG5" i="11"/>
  <c r="N5" i="11"/>
  <c r="AJ4" i="11"/>
  <c r="AL4" i="11" s="1"/>
  <c r="AG4" i="11"/>
  <c r="N4" i="11"/>
  <c r="B4" i="11"/>
  <c r="AJ3" i="11"/>
  <c r="AK3" i="11" s="1"/>
  <c r="AM3" i="11" s="1"/>
  <c r="AG3" i="11"/>
  <c r="N3" i="11"/>
  <c r="M3" i="11"/>
  <c r="M6" i="11" s="1"/>
  <c r="D3" i="11"/>
  <c r="M27" i="11" s="1"/>
  <c r="AJ2" i="11"/>
  <c r="AL2" i="11" s="1"/>
  <c r="AG2" i="11"/>
  <c r="D2" i="11"/>
  <c r="B2" i="11"/>
  <c r="AJ1" i="11"/>
  <c r="AL1" i="11" s="1"/>
  <c r="AD1" i="11"/>
  <c r="K10" i="11" s="1"/>
  <c r="K43" i="10"/>
  <c r="L43" i="10" s="1"/>
  <c r="K42" i="10"/>
  <c r="L42" i="10" s="1"/>
  <c r="K41" i="10"/>
  <c r="L41" i="10" s="1"/>
  <c r="K40" i="10"/>
  <c r="L40" i="10" s="1"/>
  <c r="K39" i="10"/>
  <c r="L39" i="10" s="1"/>
  <c r="K38" i="10"/>
  <c r="L38" i="10" s="1"/>
  <c r="K37" i="10"/>
  <c r="L37" i="10" s="1"/>
  <c r="K36" i="10"/>
  <c r="L36" i="10" s="1"/>
  <c r="AG32" i="10"/>
  <c r="AG31" i="10"/>
  <c r="M31" i="10"/>
  <c r="AG30" i="10"/>
  <c r="AG29" i="10"/>
  <c r="AG28" i="10"/>
  <c r="AG27" i="10"/>
  <c r="AG26" i="10"/>
  <c r="AG25" i="10"/>
  <c r="AG24" i="10"/>
  <c r="AJ23" i="10"/>
  <c r="AL23" i="10" s="1"/>
  <c r="AG23" i="10"/>
  <c r="AJ22" i="10"/>
  <c r="AL22" i="10" s="1"/>
  <c r="AG22" i="10"/>
  <c r="AJ21" i="10"/>
  <c r="AL21" i="10" s="1"/>
  <c r="AG21" i="10"/>
  <c r="AJ20" i="10"/>
  <c r="AG20" i="10"/>
  <c r="AJ19" i="10"/>
  <c r="AG19" i="10"/>
  <c r="AJ18" i="10"/>
  <c r="AL18" i="10" s="1"/>
  <c r="AG18" i="10"/>
  <c r="AJ17" i="10"/>
  <c r="AK17" i="10" s="1"/>
  <c r="AM17" i="10" s="1"/>
  <c r="AG17" i="10"/>
  <c r="AJ16" i="10"/>
  <c r="AL16" i="10" s="1"/>
  <c r="AG16" i="10"/>
  <c r="AJ15" i="10"/>
  <c r="AG15" i="10"/>
  <c r="AJ14" i="10"/>
  <c r="AL14" i="10" s="1"/>
  <c r="AG14" i="10"/>
  <c r="T14" i="10"/>
  <c r="S14" i="10"/>
  <c r="AJ13" i="10"/>
  <c r="AL13" i="10" s="1"/>
  <c r="AG13" i="10"/>
  <c r="T13" i="10"/>
  <c r="S13" i="10"/>
  <c r="AJ12" i="10"/>
  <c r="AG12" i="10"/>
  <c r="T12" i="10"/>
  <c r="S12" i="10"/>
  <c r="AJ11" i="10"/>
  <c r="AK11" i="10" s="1"/>
  <c r="AM11" i="10" s="1"/>
  <c r="AG11" i="10"/>
  <c r="AJ10" i="10"/>
  <c r="AK10" i="10" s="1"/>
  <c r="AM10" i="10" s="1"/>
  <c r="AG10" i="10"/>
  <c r="AJ9" i="10"/>
  <c r="AG9" i="10"/>
  <c r="AJ8" i="10"/>
  <c r="AG8" i="10"/>
  <c r="AJ7" i="10"/>
  <c r="AL7" i="10" s="1"/>
  <c r="AG7" i="10"/>
  <c r="AJ6" i="10"/>
  <c r="AK6" i="10" s="1"/>
  <c r="AM6" i="10" s="1"/>
  <c r="AG6" i="10"/>
  <c r="AD6" i="10"/>
  <c r="AD7" i="10" s="1"/>
  <c r="AD8" i="10" s="1"/>
  <c r="AJ5" i="10"/>
  <c r="AK5" i="10" s="1"/>
  <c r="AM5" i="10" s="1"/>
  <c r="AG5" i="10"/>
  <c r="N5" i="10"/>
  <c r="AJ4" i="10"/>
  <c r="AL4" i="10" s="1"/>
  <c r="AG4" i="10"/>
  <c r="N4" i="10"/>
  <c r="B4" i="10"/>
  <c r="AJ3" i="10"/>
  <c r="AL3" i="10" s="1"/>
  <c r="AG3" i="10"/>
  <c r="N3" i="10"/>
  <c r="M3" i="10"/>
  <c r="M6" i="10" s="1"/>
  <c r="D3" i="10"/>
  <c r="AJ2" i="10"/>
  <c r="AK2" i="10" s="1"/>
  <c r="AM2" i="10" s="1"/>
  <c r="AG2" i="10"/>
  <c r="D2" i="10"/>
  <c r="AJ1" i="10"/>
  <c r="AL1" i="10" s="1"/>
  <c r="AD1" i="10"/>
  <c r="K10" i="10" s="1"/>
  <c r="K43" i="9"/>
  <c r="L43" i="9" s="1"/>
  <c r="K42" i="9"/>
  <c r="L42" i="9" s="1"/>
  <c r="K41" i="9"/>
  <c r="L41" i="9" s="1"/>
  <c r="K40" i="9"/>
  <c r="L40" i="9" s="1"/>
  <c r="K39" i="9"/>
  <c r="L39" i="9" s="1"/>
  <c r="K38" i="9"/>
  <c r="L38" i="9" s="1"/>
  <c r="K37" i="9"/>
  <c r="L37" i="9" s="1"/>
  <c r="K36" i="9"/>
  <c r="L36" i="9" s="1"/>
  <c r="AG32" i="9"/>
  <c r="AG31" i="9"/>
  <c r="M31" i="9"/>
  <c r="AG30" i="9"/>
  <c r="AG29" i="9"/>
  <c r="AG28" i="9"/>
  <c r="AG27" i="9"/>
  <c r="AG26" i="9"/>
  <c r="AG25" i="9"/>
  <c r="AG24" i="9"/>
  <c r="AJ23" i="9"/>
  <c r="AK23" i="9" s="1"/>
  <c r="AM23" i="9" s="1"/>
  <c r="AG23" i="9"/>
  <c r="AJ22" i="9"/>
  <c r="AL22" i="9" s="1"/>
  <c r="AG22" i="9"/>
  <c r="AJ21" i="9"/>
  <c r="AL21" i="9" s="1"/>
  <c r="AG21" i="9"/>
  <c r="AJ20" i="9"/>
  <c r="AK20" i="9" s="1"/>
  <c r="AM20" i="9" s="1"/>
  <c r="AG20" i="9"/>
  <c r="AJ19" i="9"/>
  <c r="AL19" i="9" s="1"/>
  <c r="AG19" i="9"/>
  <c r="AJ18" i="9"/>
  <c r="AL18" i="9" s="1"/>
  <c r="AG18" i="9"/>
  <c r="AJ17" i="9"/>
  <c r="AL17" i="9" s="1"/>
  <c r="AG17" i="9"/>
  <c r="AJ16" i="9"/>
  <c r="AK16" i="9" s="1"/>
  <c r="AM16" i="9" s="1"/>
  <c r="AG16" i="9"/>
  <c r="AJ15" i="9"/>
  <c r="AL15" i="9" s="1"/>
  <c r="AG15" i="9"/>
  <c r="AJ14" i="9"/>
  <c r="AK14" i="9" s="1"/>
  <c r="AM14" i="9" s="1"/>
  <c r="AG14" i="9"/>
  <c r="T14" i="9"/>
  <c r="S14" i="9"/>
  <c r="AJ13" i="9"/>
  <c r="AK13" i="9" s="1"/>
  <c r="AM13" i="9" s="1"/>
  <c r="AG13" i="9"/>
  <c r="T13" i="9"/>
  <c r="S13" i="9"/>
  <c r="AJ12" i="9"/>
  <c r="AL12" i="9" s="1"/>
  <c r="AG12" i="9"/>
  <c r="T12" i="9"/>
  <c r="S12" i="9"/>
  <c r="AJ11" i="9"/>
  <c r="AL11" i="9" s="1"/>
  <c r="AG11" i="9"/>
  <c r="AJ10" i="9"/>
  <c r="AG10" i="9"/>
  <c r="AJ9" i="9"/>
  <c r="AL9" i="9" s="1"/>
  <c r="AG9" i="9"/>
  <c r="AJ8" i="9"/>
  <c r="AL8" i="9" s="1"/>
  <c r="AG8" i="9"/>
  <c r="AJ7" i="9"/>
  <c r="AK7" i="9" s="1"/>
  <c r="AM7" i="9" s="1"/>
  <c r="AG7" i="9"/>
  <c r="AJ6" i="9"/>
  <c r="AL6" i="9" s="1"/>
  <c r="AG6" i="9"/>
  <c r="AD6" i="9"/>
  <c r="AE6" i="9" s="1"/>
  <c r="AJ5" i="9"/>
  <c r="AG5" i="9"/>
  <c r="N5" i="9"/>
  <c r="AJ4" i="9"/>
  <c r="AK4" i="9" s="1"/>
  <c r="AM4" i="9" s="1"/>
  <c r="AG4" i="9"/>
  <c r="N4" i="9"/>
  <c r="B4" i="9"/>
  <c r="AJ3" i="9"/>
  <c r="AK3" i="9" s="1"/>
  <c r="AM3" i="9" s="1"/>
  <c r="AG3" i="9"/>
  <c r="N3" i="9"/>
  <c r="M3" i="9"/>
  <c r="M6" i="9" s="1"/>
  <c r="D3" i="9"/>
  <c r="AJ2" i="9"/>
  <c r="AL2" i="9" s="1"/>
  <c r="AG2" i="9"/>
  <c r="D2" i="9"/>
  <c r="B2" i="9"/>
  <c r="AJ1" i="9"/>
  <c r="AL1" i="9" s="1"/>
  <c r="AD1" i="9"/>
  <c r="K10" i="9" s="1"/>
  <c r="K43" i="8"/>
  <c r="L43" i="8" s="1"/>
  <c r="K42" i="8"/>
  <c r="L42" i="8" s="1"/>
  <c r="K41" i="8"/>
  <c r="L41" i="8" s="1"/>
  <c r="K40" i="8"/>
  <c r="L40" i="8" s="1"/>
  <c r="K39" i="8"/>
  <c r="L39" i="8" s="1"/>
  <c r="K38" i="8"/>
  <c r="L38" i="8" s="1"/>
  <c r="K37" i="8"/>
  <c r="L37" i="8" s="1"/>
  <c r="K36" i="8"/>
  <c r="L36" i="8" s="1"/>
  <c r="AG32" i="8"/>
  <c r="AG31" i="8"/>
  <c r="M31" i="8"/>
  <c r="AG30" i="8"/>
  <c r="AG29" i="8"/>
  <c r="AG28" i="8"/>
  <c r="AG27" i="8"/>
  <c r="AG26" i="8"/>
  <c r="AG25" i="8"/>
  <c r="AG24" i="8"/>
  <c r="AJ23" i="8"/>
  <c r="AK23" i="8" s="1"/>
  <c r="AM23" i="8" s="1"/>
  <c r="AG23" i="8"/>
  <c r="AJ22" i="8"/>
  <c r="AK22" i="8" s="1"/>
  <c r="AM22" i="8" s="1"/>
  <c r="AG22" i="8"/>
  <c r="AJ21" i="8"/>
  <c r="AK21" i="8" s="1"/>
  <c r="AM21" i="8" s="1"/>
  <c r="AG21" i="8"/>
  <c r="AJ20" i="8"/>
  <c r="AK20" i="8" s="1"/>
  <c r="AM20" i="8" s="1"/>
  <c r="AG20" i="8"/>
  <c r="AJ19" i="8"/>
  <c r="AL19" i="8" s="1"/>
  <c r="AG19" i="8"/>
  <c r="AJ18" i="8"/>
  <c r="AK18" i="8" s="1"/>
  <c r="AM18" i="8" s="1"/>
  <c r="AG18" i="8"/>
  <c r="AJ17" i="8"/>
  <c r="AL17" i="8" s="1"/>
  <c r="AG17" i="8"/>
  <c r="AJ16" i="8"/>
  <c r="AK16" i="8" s="1"/>
  <c r="AM16" i="8" s="1"/>
  <c r="AG16" i="8"/>
  <c r="AJ15" i="8"/>
  <c r="AK15" i="8" s="1"/>
  <c r="AM15" i="8" s="1"/>
  <c r="AG15" i="8"/>
  <c r="AJ14" i="8"/>
  <c r="AK14" i="8" s="1"/>
  <c r="AM14" i="8" s="1"/>
  <c r="AG14" i="8"/>
  <c r="T14" i="8"/>
  <c r="S14" i="8"/>
  <c r="AJ13" i="8"/>
  <c r="AL13" i="8" s="1"/>
  <c r="AG13" i="8"/>
  <c r="T13" i="8"/>
  <c r="S13" i="8"/>
  <c r="AJ12" i="8"/>
  <c r="AK12" i="8" s="1"/>
  <c r="AM12" i="8" s="1"/>
  <c r="AG12" i="8"/>
  <c r="T12" i="8"/>
  <c r="S12" i="8"/>
  <c r="AJ11" i="8"/>
  <c r="AL11" i="8" s="1"/>
  <c r="AG11" i="8"/>
  <c r="AJ10" i="8"/>
  <c r="AL10" i="8" s="1"/>
  <c r="AG10" i="8"/>
  <c r="AJ9" i="8"/>
  <c r="AL9" i="8" s="1"/>
  <c r="AG9" i="8"/>
  <c r="AJ8" i="8"/>
  <c r="AK8" i="8" s="1"/>
  <c r="AM8" i="8" s="1"/>
  <c r="AG8" i="8"/>
  <c r="AJ7" i="8"/>
  <c r="AK7" i="8" s="1"/>
  <c r="AM7" i="8" s="1"/>
  <c r="AG7" i="8"/>
  <c r="AJ6" i="8"/>
  <c r="AK6" i="8" s="1"/>
  <c r="AM6" i="8" s="1"/>
  <c r="AG6" i="8"/>
  <c r="AD6" i="8"/>
  <c r="AE6" i="8" s="1"/>
  <c r="S3" i="8" s="1"/>
  <c r="AJ5" i="8"/>
  <c r="AK5" i="8" s="1"/>
  <c r="AM5" i="8" s="1"/>
  <c r="AG5" i="8"/>
  <c r="N5" i="8"/>
  <c r="AJ4" i="8"/>
  <c r="AK4" i="8" s="1"/>
  <c r="AM4" i="8" s="1"/>
  <c r="AG4" i="8"/>
  <c r="N4" i="8"/>
  <c r="B4" i="8"/>
  <c r="AJ3" i="8"/>
  <c r="AK3" i="8" s="1"/>
  <c r="AM3" i="8" s="1"/>
  <c r="AG3" i="8"/>
  <c r="N3" i="8"/>
  <c r="M3" i="8"/>
  <c r="M6" i="8" s="1"/>
  <c r="D3" i="8"/>
  <c r="AJ2" i="8"/>
  <c r="AK2" i="8" s="1"/>
  <c r="AM2" i="8" s="1"/>
  <c r="AG2" i="8"/>
  <c r="D2" i="8"/>
  <c r="M15" i="8" s="1"/>
  <c r="B2" i="8"/>
  <c r="AJ1" i="8"/>
  <c r="AK1" i="8" s="1"/>
  <c r="AM1" i="8" s="1"/>
  <c r="AD1" i="8"/>
  <c r="K43" i="7"/>
  <c r="L43" i="7" s="1"/>
  <c r="K42" i="7"/>
  <c r="L42" i="7" s="1"/>
  <c r="K41" i="7"/>
  <c r="L41" i="7" s="1"/>
  <c r="K40" i="7"/>
  <c r="L40" i="7" s="1"/>
  <c r="K39" i="7"/>
  <c r="L39" i="7" s="1"/>
  <c r="K38" i="7"/>
  <c r="L38" i="7" s="1"/>
  <c r="K37" i="7"/>
  <c r="L37" i="7" s="1"/>
  <c r="K36" i="7"/>
  <c r="L36" i="7" s="1"/>
  <c r="AG32" i="7"/>
  <c r="AG31" i="7"/>
  <c r="M31" i="7"/>
  <c r="AG30" i="7"/>
  <c r="AG29" i="7"/>
  <c r="AG28" i="7"/>
  <c r="AG27" i="7"/>
  <c r="AG26" i="7"/>
  <c r="AG25" i="7"/>
  <c r="AG24" i="7"/>
  <c r="AJ23" i="7"/>
  <c r="AL23" i="7" s="1"/>
  <c r="AG23" i="7"/>
  <c r="AJ22" i="7"/>
  <c r="AK22" i="7" s="1"/>
  <c r="AM22" i="7" s="1"/>
  <c r="AG22" i="7"/>
  <c r="AJ21" i="7"/>
  <c r="AL21" i="7" s="1"/>
  <c r="AG21" i="7"/>
  <c r="AJ20" i="7"/>
  <c r="AK20" i="7" s="1"/>
  <c r="AM20" i="7" s="1"/>
  <c r="AG20" i="7"/>
  <c r="AJ19" i="7"/>
  <c r="AK19" i="7" s="1"/>
  <c r="AM19" i="7" s="1"/>
  <c r="AG19" i="7"/>
  <c r="AJ18" i="7"/>
  <c r="AL18" i="7" s="1"/>
  <c r="AG18" i="7"/>
  <c r="AJ17" i="7"/>
  <c r="AK17" i="7" s="1"/>
  <c r="AM17" i="7" s="1"/>
  <c r="AG17" i="7"/>
  <c r="AJ16" i="7"/>
  <c r="AL16" i="7" s="1"/>
  <c r="AG16" i="7"/>
  <c r="AJ15" i="7"/>
  <c r="AK15" i="7" s="1"/>
  <c r="AM15" i="7" s="1"/>
  <c r="AG15" i="7"/>
  <c r="AJ14" i="7"/>
  <c r="AL14" i="7" s="1"/>
  <c r="AG14" i="7"/>
  <c r="T14" i="7"/>
  <c r="S14" i="7"/>
  <c r="AJ13" i="7"/>
  <c r="AL13" i="7" s="1"/>
  <c r="AG13" i="7"/>
  <c r="T13" i="7"/>
  <c r="S13" i="7"/>
  <c r="AJ12" i="7"/>
  <c r="AK12" i="7" s="1"/>
  <c r="AM12" i="7" s="1"/>
  <c r="AG12" i="7"/>
  <c r="T12" i="7"/>
  <c r="S12" i="7"/>
  <c r="AJ11" i="7"/>
  <c r="AG11" i="7"/>
  <c r="AJ10" i="7"/>
  <c r="AK10" i="7" s="1"/>
  <c r="AM10" i="7" s="1"/>
  <c r="AG10" i="7"/>
  <c r="AJ9" i="7"/>
  <c r="AL9" i="7" s="1"/>
  <c r="AG9" i="7"/>
  <c r="AJ8" i="7"/>
  <c r="AL8" i="7" s="1"/>
  <c r="AG8" i="7"/>
  <c r="AJ7" i="7"/>
  <c r="AK7" i="7" s="1"/>
  <c r="AM7" i="7" s="1"/>
  <c r="AG7" i="7"/>
  <c r="AJ6" i="7"/>
  <c r="AK6" i="7" s="1"/>
  <c r="AM6" i="7" s="1"/>
  <c r="AG6" i="7"/>
  <c r="AD6" i="7"/>
  <c r="AE6" i="7" s="1"/>
  <c r="AJ5" i="7"/>
  <c r="AL5" i="7" s="1"/>
  <c r="AG5" i="7"/>
  <c r="N5" i="7"/>
  <c r="AJ4" i="7"/>
  <c r="AK4" i="7" s="1"/>
  <c r="AM4" i="7" s="1"/>
  <c r="AG4" i="7"/>
  <c r="N4" i="7"/>
  <c r="B4" i="7"/>
  <c r="AJ3" i="7"/>
  <c r="AL3" i="7" s="1"/>
  <c r="AG3" i="7"/>
  <c r="N3" i="7"/>
  <c r="M3" i="7"/>
  <c r="M6" i="7" s="1"/>
  <c r="D3" i="7"/>
  <c r="AJ2" i="7"/>
  <c r="AG2" i="7"/>
  <c r="D2" i="7"/>
  <c r="B2" i="7"/>
  <c r="AJ1" i="7"/>
  <c r="AD1" i="7"/>
  <c r="K10" i="7" s="1"/>
  <c r="K43" i="6"/>
  <c r="L43" i="6" s="1"/>
  <c r="K42" i="6"/>
  <c r="L42" i="6" s="1"/>
  <c r="K41" i="6"/>
  <c r="L41" i="6" s="1"/>
  <c r="K40" i="6"/>
  <c r="L40" i="6" s="1"/>
  <c r="K39" i="6"/>
  <c r="L39" i="6" s="1"/>
  <c r="K38" i="6"/>
  <c r="L38" i="6" s="1"/>
  <c r="K37" i="6"/>
  <c r="L37" i="6" s="1"/>
  <c r="K36" i="6"/>
  <c r="L36" i="6" s="1"/>
  <c r="AG32" i="6"/>
  <c r="AG31" i="6"/>
  <c r="M31" i="6"/>
  <c r="AG30" i="6"/>
  <c r="AG29" i="6"/>
  <c r="AG28" i="6"/>
  <c r="AG27" i="6"/>
  <c r="AG26" i="6"/>
  <c r="AG25" i="6"/>
  <c r="AG24" i="6"/>
  <c r="AJ23" i="6"/>
  <c r="AG23" i="6"/>
  <c r="AJ22" i="6"/>
  <c r="AL22" i="6" s="1"/>
  <c r="AG22" i="6"/>
  <c r="AJ21" i="6"/>
  <c r="AL21" i="6" s="1"/>
  <c r="AG21" i="6"/>
  <c r="AJ20" i="6"/>
  <c r="AL20" i="6" s="1"/>
  <c r="AG20" i="6"/>
  <c r="AJ19" i="6"/>
  <c r="AK19" i="6" s="1"/>
  <c r="AM19" i="6" s="1"/>
  <c r="AG19" i="6"/>
  <c r="AJ18" i="6"/>
  <c r="AG18" i="6"/>
  <c r="AJ17" i="6"/>
  <c r="AL17" i="6" s="1"/>
  <c r="AG17" i="6"/>
  <c r="AJ16" i="6"/>
  <c r="AK16" i="6" s="1"/>
  <c r="AM16" i="6" s="1"/>
  <c r="AG16" i="6"/>
  <c r="AJ15" i="6"/>
  <c r="AL15" i="6" s="1"/>
  <c r="AG15" i="6"/>
  <c r="AJ14" i="6"/>
  <c r="AG14" i="6"/>
  <c r="T14" i="6"/>
  <c r="S14" i="6"/>
  <c r="AJ13" i="6"/>
  <c r="AL13" i="6" s="1"/>
  <c r="AG13" i="6"/>
  <c r="T13" i="6"/>
  <c r="S13" i="6"/>
  <c r="AJ12" i="6"/>
  <c r="AK12" i="6" s="1"/>
  <c r="AM12" i="6" s="1"/>
  <c r="AG12" i="6"/>
  <c r="T12" i="6"/>
  <c r="S12" i="6"/>
  <c r="AJ11" i="6"/>
  <c r="AL11" i="6" s="1"/>
  <c r="AG11" i="6"/>
  <c r="AJ10" i="6"/>
  <c r="AL10" i="6" s="1"/>
  <c r="AG10" i="6"/>
  <c r="AJ9" i="6"/>
  <c r="AG9" i="6"/>
  <c r="AJ8" i="6"/>
  <c r="AL8" i="6" s="1"/>
  <c r="AG8" i="6"/>
  <c r="AJ7" i="6"/>
  <c r="AG7" i="6"/>
  <c r="AJ6" i="6"/>
  <c r="AK6" i="6" s="1"/>
  <c r="AM6" i="6" s="1"/>
  <c r="AG6" i="6"/>
  <c r="AD6" i="6"/>
  <c r="AE6" i="6" s="1"/>
  <c r="AJ5" i="6"/>
  <c r="AL5" i="6" s="1"/>
  <c r="AG5" i="6"/>
  <c r="N5" i="6"/>
  <c r="AJ4" i="6"/>
  <c r="AL4" i="6" s="1"/>
  <c r="AG4" i="6"/>
  <c r="N4" i="6"/>
  <c r="B4" i="6"/>
  <c r="AJ3" i="6"/>
  <c r="AG3" i="6"/>
  <c r="N3" i="6"/>
  <c r="M3" i="6"/>
  <c r="M6" i="6" s="1"/>
  <c r="D3" i="6"/>
  <c r="M27" i="6" s="1"/>
  <c r="AJ2" i="6"/>
  <c r="AG2" i="6"/>
  <c r="D2" i="6"/>
  <c r="B2" i="6"/>
  <c r="AJ1" i="6"/>
  <c r="AL1" i="6" s="1"/>
  <c r="AD1" i="6"/>
  <c r="K10" i="6" s="1"/>
  <c r="K43" i="5"/>
  <c r="L43" i="5" s="1"/>
  <c r="K42" i="5"/>
  <c r="L42" i="5" s="1"/>
  <c r="K41" i="5"/>
  <c r="L41" i="5" s="1"/>
  <c r="K40" i="5"/>
  <c r="L40" i="5" s="1"/>
  <c r="K39" i="5"/>
  <c r="L39" i="5" s="1"/>
  <c r="K38" i="5"/>
  <c r="L38" i="5" s="1"/>
  <c r="K37" i="5"/>
  <c r="L37" i="5" s="1"/>
  <c r="K36" i="5"/>
  <c r="L36" i="5" s="1"/>
  <c r="AG32" i="5"/>
  <c r="AG31" i="5"/>
  <c r="M31" i="5"/>
  <c r="AG30" i="5"/>
  <c r="AG29" i="5"/>
  <c r="AG28" i="5"/>
  <c r="AG27" i="5"/>
  <c r="AG26" i="5"/>
  <c r="AG25" i="5"/>
  <c r="AG24" i="5"/>
  <c r="AJ23" i="5"/>
  <c r="AL23" i="5" s="1"/>
  <c r="AG23" i="5"/>
  <c r="AJ22" i="5"/>
  <c r="AL22" i="5" s="1"/>
  <c r="AG22" i="5"/>
  <c r="AJ21" i="5"/>
  <c r="AG21" i="5"/>
  <c r="AJ20" i="5"/>
  <c r="AG20" i="5"/>
  <c r="AJ19" i="5"/>
  <c r="AK19" i="5" s="1"/>
  <c r="AM19" i="5" s="1"/>
  <c r="AG19" i="5"/>
  <c r="AJ18" i="5"/>
  <c r="AK18" i="5" s="1"/>
  <c r="AM18" i="5" s="1"/>
  <c r="AG18" i="5"/>
  <c r="AJ17" i="5"/>
  <c r="AK17" i="5" s="1"/>
  <c r="AM17" i="5" s="1"/>
  <c r="AG17" i="5"/>
  <c r="AJ16" i="5"/>
  <c r="AL16" i="5" s="1"/>
  <c r="AG16" i="5"/>
  <c r="AJ15" i="5"/>
  <c r="AG15" i="5"/>
  <c r="AJ14" i="5"/>
  <c r="AK14" i="5" s="1"/>
  <c r="AM14" i="5" s="1"/>
  <c r="AG14" i="5"/>
  <c r="T14" i="5"/>
  <c r="S14" i="5"/>
  <c r="AJ13" i="5"/>
  <c r="AK13" i="5" s="1"/>
  <c r="AM13" i="5" s="1"/>
  <c r="AG13" i="5"/>
  <c r="T13" i="5"/>
  <c r="S13" i="5"/>
  <c r="AJ12" i="5"/>
  <c r="AL12" i="5" s="1"/>
  <c r="AG12" i="5"/>
  <c r="T12" i="5"/>
  <c r="S12" i="5"/>
  <c r="AJ11" i="5"/>
  <c r="AG11" i="5"/>
  <c r="AJ10" i="5"/>
  <c r="AG10" i="5"/>
  <c r="AJ9" i="5"/>
  <c r="AL9" i="5" s="1"/>
  <c r="AG9" i="5"/>
  <c r="AJ8" i="5"/>
  <c r="AL8" i="5" s="1"/>
  <c r="AG8" i="5"/>
  <c r="AJ7" i="5"/>
  <c r="AL7" i="5" s="1"/>
  <c r="AG7" i="5"/>
  <c r="AJ6" i="5"/>
  <c r="AK6" i="5" s="1"/>
  <c r="AM6" i="5" s="1"/>
  <c r="AG6" i="5"/>
  <c r="AD6" i="5"/>
  <c r="AJ5" i="5"/>
  <c r="AG5" i="5"/>
  <c r="N5" i="5"/>
  <c r="AJ4" i="5"/>
  <c r="AG4" i="5"/>
  <c r="N4" i="5"/>
  <c r="B4" i="5"/>
  <c r="AJ3" i="5"/>
  <c r="AG3" i="5"/>
  <c r="N3" i="5"/>
  <c r="M3" i="5"/>
  <c r="M6" i="5" s="1"/>
  <c r="D3" i="5"/>
  <c r="M27" i="5" s="1"/>
  <c r="AJ2" i="5"/>
  <c r="AL2" i="5" s="1"/>
  <c r="AG2" i="5"/>
  <c r="D2" i="5"/>
  <c r="B2" i="5"/>
  <c r="AJ1" i="5"/>
  <c r="AK1" i="5" s="1"/>
  <c r="AM1" i="5" s="1"/>
  <c r="AD1" i="5"/>
  <c r="K10" i="5" s="1"/>
  <c r="K43" i="4"/>
  <c r="L43" i="4" s="1"/>
  <c r="K42" i="4"/>
  <c r="L42" i="4" s="1"/>
  <c r="K41" i="4"/>
  <c r="L41" i="4" s="1"/>
  <c r="K40" i="4"/>
  <c r="L40" i="4" s="1"/>
  <c r="K39" i="4"/>
  <c r="L39" i="4" s="1"/>
  <c r="K38" i="4"/>
  <c r="L38" i="4" s="1"/>
  <c r="K37" i="4"/>
  <c r="L37" i="4" s="1"/>
  <c r="K36" i="4"/>
  <c r="L36" i="4" s="1"/>
  <c r="AG32" i="4"/>
  <c r="AG31" i="4"/>
  <c r="M31" i="4"/>
  <c r="AG30" i="4"/>
  <c r="AG29" i="4"/>
  <c r="AG28" i="4"/>
  <c r="AG27" i="4"/>
  <c r="AG26" i="4"/>
  <c r="AG25" i="4"/>
  <c r="AG24" i="4"/>
  <c r="AJ23" i="4"/>
  <c r="AL23" i="4" s="1"/>
  <c r="AG23" i="4"/>
  <c r="AJ22" i="4"/>
  <c r="AL22" i="4" s="1"/>
  <c r="AG22" i="4"/>
  <c r="AJ21" i="4"/>
  <c r="AL21" i="4" s="1"/>
  <c r="AG21" i="4"/>
  <c r="AJ20" i="4"/>
  <c r="AG20" i="4"/>
  <c r="AJ19" i="4"/>
  <c r="AL19" i="4" s="1"/>
  <c r="AG19" i="4"/>
  <c r="AJ18" i="4"/>
  <c r="AK18" i="4" s="1"/>
  <c r="AM18" i="4" s="1"/>
  <c r="AG18" i="4"/>
  <c r="AJ17" i="4"/>
  <c r="AK17" i="4" s="1"/>
  <c r="AM17" i="4" s="1"/>
  <c r="AG17" i="4"/>
  <c r="AJ16" i="4"/>
  <c r="AK16" i="4" s="1"/>
  <c r="AM16" i="4" s="1"/>
  <c r="AG16" i="4"/>
  <c r="AJ15" i="4"/>
  <c r="AK15" i="4" s="1"/>
  <c r="AM15" i="4" s="1"/>
  <c r="AG15" i="4"/>
  <c r="AJ14" i="4"/>
  <c r="AK14" i="4" s="1"/>
  <c r="AM14" i="4" s="1"/>
  <c r="AG14" i="4"/>
  <c r="T14" i="4"/>
  <c r="S14" i="4"/>
  <c r="AJ13" i="4"/>
  <c r="AK13" i="4" s="1"/>
  <c r="AM13" i="4" s="1"/>
  <c r="AG13" i="4"/>
  <c r="T13" i="4"/>
  <c r="S13" i="4"/>
  <c r="AJ12" i="4"/>
  <c r="AG12" i="4"/>
  <c r="T12" i="4"/>
  <c r="S12" i="4"/>
  <c r="AJ11" i="4"/>
  <c r="AK11" i="4" s="1"/>
  <c r="AM11" i="4" s="1"/>
  <c r="AG11" i="4"/>
  <c r="AJ10" i="4"/>
  <c r="AK10" i="4" s="1"/>
  <c r="AM10" i="4" s="1"/>
  <c r="AG10" i="4"/>
  <c r="AJ9" i="4"/>
  <c r="AG9" i="4"/>
  <c r="AJ8" i="4"/>
  <c r="AK8" i="4" s="1"/>
  <c r="AM8" i="4" s="1"/>
  <c r="AG8" i="4"/>
  <c r="AJ7" i="4"/>
  <c r="AL7" i="4" s="1"/>
  <c r="AG7" i="4"/>
  <c r="AJ6" i="4"/>
  <c r="AK6" i="4" s="1"/>
  <c r="AM6" i="4" s="1"/>
  <c r="AG6" i="4"/>
  <c r="AD6" i="4"/>
  <c r="AJ5" i="4"/>
  <c r="AL5" i="4" s="1"/>
  <c r="AG5" i="4"/>
  <c r="N5" i="4"/>
  <c r="AJ4" i="4"/>
  <c r="AK4" i="4" s="1"/>
  <c r="AM4" i="4" s="1"/>
  <c r="AG4" i="4"/>
  <c r="N4" i="4"/>
  <c r="B4" i="4"/>
  <c r="AJ3" i="4"/>
  <c r="AK3" i="4" s="1"/>
  <c r="AM3" i="4" s="1"/>
  <c r="AG3" i="4"/>
  <c r="N3" i="4"/>
  <c r="M3" i="4"/>
  <c r="M6" i="4" s="1"/>
  <c r="D3" i="4"/>
  <c r="AJ2" i="4"/>
  <c r="AG2" i="4"/>
  <c r="D2" i="4"/>
  <c r="M15" i="4" s="1"/>
  <c r="B2" i="4"/>
  <c r="AJ1" i="4"/>
  <c r="AD1" i="4"/>
  <c r="AD2" i="4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AG32" i="3"/>
  <c r="AG31" i="3"/>
  <c r="M31" i="3"/>
  <c r="AG30" i="3"/>
  <c r="AG29" i="3"/>
  <c r="AG28" i="3"/>
  <c r="AG27" i="3"/>
  <c r="AG26" i="3"/>
  <c r="AG25" i="3"/>
  <c r="AG24" i="3"/>
  <c r="AJ23" i="3"/>
  <c r="AK23" i="3" s="1"/>
  <c r="AM23" i="3" s="1"/>
  <c r="AG23" i="3"/>
  <c r="AJ22" i="3"/>
  <c r="AL22" i="3" s="1"/>
  <c r="AG22" i="3"/>
  <c r="AJ21" i="3"/>
  <c r="AG21" i="3"/>
  <c r="AJ20" i="3"/>
  <c r="AK20" i="3" s="1"/>
  <c r="AM20" i="3" s="1"/>
  <c r="AG20" i="3"/>
  <c r="AJ19" i="3"/>
  <c r="AL19" i="3" s="1"/>
  <c r="AG19" i="3"/>
  <c r="AJ18" i="3"/>
  <c r="AG18" i="3"/>
  <c r="AJ17" i="3"/>
  <c r="AK17" i="3" s="1"/>
  <c r="AM17" i="3" s="1"/>
  <c r="AG17" i="3"/>
  <c r="AJ16" i="3"/>
  <c r="AG16" i="3"/>
  <c r="AJ15" i="3"/>
  <c r="AL15" i="3" s="1"/>
  <c r="AG15" i="3"/>
  <c r="AJ14" i="3"/>
  <c r="AG14" i="3"/>
  <c r="T14" i="3"/>
  <c r="S14" i="3"/>
  <c r="AJ13" i="3"/>
  <c r="AK13" i="3" s="1"/>
  <c r="AM13" i="3" s="1"/>
  <c r="AG13" i="3"/>
  <c r="T13" i="3"/>
  <c r="S13" i="3"/>
  <c r="AJ12" i="3"/>
  <c r="AL12" i="3" s="1"/>
  <c r="AG12" i="3"/>
  <c r="T12" i="3"/>
  <c r="S12" i="3"/>
  <c r="AJ11" i="3"/>
  <c r="AK11" i="3" s="1"/>
  <c r="AM11" i="3" s="1"/>
  <c r="AG11" i="3"/>
  <c r="AJ10" i="3"/>
  <c r="AL10" i="3" s="1"/>
  <c r="AG10" i="3"/>
  <c r="AJ9" i="3"/>
  <c r="AL9" i="3" s="1"/>
  <c r="AG9" i="3"/>
  <c r="AJ8" i="3"/>
  <c r="AL8" i="3" s="1"/>
  <c r="AG8" i="3"/>
  <c r="AJ7" i="3"/>
  <c r="AK7" i="3" s="1"/>
  <c r="AM7" i="3" s="1"/>
  <c r="AG7" i="3"/>
  <c r="AJ6" i="3"/>
  <c r="AL6" i="3" s="1"/>
  <c r="AG6" i="3"/>
  <c r="AD6" i="3"/>
  <c r="AD7" i="3" s="1"/>
  <c r="AJ5" i="3"/>
  <c r="AK5" i="3" s="1"/>
  <c r="AM5" i="3" s="1"/>
  <c r="AG5" i="3"/>
  <c r="N5" i="3"/>
  <c r="AJ4" i="3"/>
  <c r="AL4" i="3" s="1"/>
  <c r="AG4" i="3"/>
  <c r="N4" i="3"/>
  <c r="B4" i="3"/>
  <c r="AJ3" i="3"/>
  <c r="AL3" i="3" s="1"/>
  <c r="AG3" i="3"/>
  <c r="N3" i="3"/>
  <c r="M3" i="3"/>
  <c r="M6" i="3" s="1"/>
  <c r="D3" i="3"/>
  <c r="M27" i="3" s="1"/>
  <c r="AJ2" i="3"/>
  <c r="AL2" i="3" s="1"/>
  <c r="AG2" i="3"/>
  <c r="D2" i="3"/>
  <c r="AJ1" i="3"/>
  <c r="AD1" i="3"/>
  <c r="K3" i="3" s="1"/>
  <c r="K43" i="2"/>
  <c r="L43" i="2" s="1"/>
  <c r="K42" i="2"/>
  <c r="L42" i="2" s="1"/>
  <c r="K41" i="2"/>
  <c r="L41" i="2" s="1"/>
  <c r="K40" i="2"/>
  <c r="L40" i="2" s="1"/>
  <c r="K39" i="2"/>
  <c r="L39" i="2" s="1"/>
  <c r="K38" i="2"/>
  <c r="L38" i="2" s="1"/>
  <c r="K37" i="2"/>
  <c r="L37" i="2" s="1"/>
  <c r="K36" i="2"/>
  <c r="L36" i="2" s="1"/>
  <c r="AG32" i="2"/>
  <c r="AG31" i="2"/>
  <c r="M31" i="2"/>
  <c r="AG30" i="2"/>
  <c r="AG29" i="2"/>
  <c r="AG28" i="2"/>
  <c r="AG27" i="2"/>
  <c r="AG26" i="2"/>
  <c r="AG25" i="2"/>
  <c r="AG24" i="2"/>
  <c r="AJ23" i="2"/>
  <c r="AK23" i="2" s="1"/>
  <c r="AM23" i="2" s="1"/>
  <c r="AG23" i="2"/>
  <c r="AJ22" i="2"/>
  <c r="AK22" i="2" s="1"/>
  <c r="AM22" i="2" s="1"/>
  <c r="AG22" i="2"/>
  <c r="AJ21" i="2"/>
  <c r="AK21" i="2" s="1"/>
  <c r="AM21" i="2" s="1"/>
  <c r="AG21" i="2"/>
  <c r="AJ20" i="2"/>
  <c r="AK20" i="2" s="1"/>
  <c r="AM20" i="2" s="1"/>
  <c r="AG20" i="2"/>
  <c r="AJ19" i="2"/>
  <c r="AK19" i="2" s="1"/>
  <c r="AM19" i="2" s="1"/>
  <c r="AG19" i="2"/>
  <c r="AJ18" i="2"/>
  <c r="AK18" i="2" s="1"/>
  <c r="AM18" i="2" s="1"/>
  <c r="AG18" i="2"/>
  <c r="AJ17" i="2"/>
  <c r="AK17" i="2" s="1"/>
  <c r="AM17" i="2" s="1"/>
  <c r="AG17" i="2"/>
  <c r="AJ16" i="2"/>
  <c r="AK16" i="2" s="1"/>
  <c r="AM16" i="2" s="1"/>
  <c r="AG16" i="2"/>
  <c r="AJ15" i="2"/>
  <c r="AK15" i="2" s="1"/>
  <c r="AM15" i="2" s="1"/>
  <c r="AG15" i="2"/>
  <c r="AJ14" i="2"/>
  <c r="AK14" i="2" s="1"/>
  <c r="AM14" i="2" s="1"/>
  <c r="AG14" i="2"/>
  <c r="AJ13" i="2"/>
  <c r="AK13" i="2" s="1"/>
  <c r="AM13" i="2" s="1"/>
  <c r="AG13" i="2"/>
  <c r="AJ12" i="2"/>
  <c r="AK12" i="2" s="1"/>
  <c r="AM12" i="2" s="1"/>
  <c r="AG12" i="2"/>
  <c r="AJ11" i="2"/>
  <c r="AK11" i="2" s="1"/>
  <c r="AM11" i="2" s="1"/>
  <c r="AG11" i="2"/>
  <c r="AJ10" i="2"/>
  <c r="AK10" i="2" s="1"/>
  <c r="AM10" i="2" s="1"/>
  <c r="AG10" i="2"/>
  <c r="AJ9" i="2"/>
  <c r="AK9" i="2" s="1"/>
  <c r="AM9" i="2" s="1"/>
  <c r="AG9" i="2"/>
  <c r="AJ8" i="2"/>
  <c r="AK8" i="2" s="1"/>
  <c r="AM8" i="2" s="1"/>
  <c r="AG8" i="2"/>
  <c r="AJ7" i="2"/>
  <c r="AK7" i="2" s="1"/>
  <c r="AM7" i="2" s="1"/>
  <c r="AG7" i="2"/>
  <c r="AJ6" i="2"/>
  <c r="AK6" i="2" s="1"/>
  <c r="AM6" i="2" s="1"/>
  <c r="AG6" i="2"/>
  <c r="AD6" i="2"/>
  <c r="AE6" i="2" s="1"/>
  <c r="AJ5" i="2"/>
  <c r="AK5" i="2" s="1"/>
  <c r="AM5" i="2" s="1"/>
  <c r="AG5" i="2"/>
  <c r="N5" i="2"/>
  <c r="AJ4" i="2"/>
  <c r="AK4" i="2" s="1"/>
  <c r="AM4" i="2" s="1"/>
  <c r="AG4" i="2"/>
  <c r="N4" i="2"/>
  <c r="B4" i="2"/>
  <c r="AJ3" i="2"/>
  <c r="AK3" i="2" s="1"/>
  <c r="AM3" i="2" s="1"/>
  <c r="AG3" i="2"/>
  <c r="N3" i="2"/>
  <c r="M3" i="2"/>
  <c r="M6" i="2" s="1"/>
  <c r="D3" i="2"/>
  <c r="M27" i="2" s="1"/>
  <c r="AJ2" i="2"/>
  <c r="AK2" i="2" s="1"/>
  <c r="AM2" i="2" s="1"/>
  <c r="AG2" i="2"/>
  <c r="D2" i="2"/>
  <c r="AJ1" i="2"/>
  <c r="AK1" i="2" s="1"/>
  <c r="AM1" i="2" s="1"/>
  <c r="AD1" i="2"/>
  <c r="E57" i="1"/>
  <c r="E56" i="1"/>
  <c r="E55" i="1"/>
  <c r="E54" i="1"/>
  <c r="E53" i="1"/>
  <c r="E52" i="1"/>
  <c r="E51" i="1"/>
  <c r="E50" i="1"/>
  <c r="P45" i="1"/>
  <c r="M45" i="1"/>
  <c r="L45" i="1"/>
  <c r="K45" i="1"/>
  <c r="J45" i="1"/>
  <c r="I45" i="1"/>
  <c r="H45" i="1"/>
  <c r="G45" i="1"/>
  <c r="F45" i="1"/>
  <c r="E45" i="1"/>
  <c r="D45" i="1"/>
  <c r="C45" i="1"/>
  <c r="B45" i="1"/>
  <c r="P44" i="1"/>
  <c r="M44" i="1"/>
  <c r="L44" i="1"/>
  <c r="K44" i="1"/>
  <c r="J44" i="1"/>
  <c r="I44" i="1"/>
  <c r="H44" i="1"/>
  <c r="G44" i="1"/>
  <c r="F44" i="1"/>
  <c r="E44" i="1"/>
  <c r="D44" i="1"/>
  <c r="C44" i="1"/>
  <c r="B44" i="1"/>
  <c r="P43" i="1"/>
  <c r="M43" i="1"/>
  <c r="L43" i="1"/>
  <c r="K43" i="1"/>
  <c r="J43" i="1"/>
  <c r="I43" i="1"/>
  <c r="H43" i="1"/>
  <c r="G43" i="1"/>
  <c r="F43" i="1"/>
  <c r="E43" i="1"/>
  <c r="D43" i="1"/>
  <c r="C43" i="1"/>
  <c r="B43" i="1"/>
  <c r="P42" i="1"/>
  <c r="M42" i="1"/>
  <c r="L42" i="1"/>
  <c r="K42" i="1"/>
  <c r="J42" i="1"/>
  <c r="I42" i="1"/>
  <c r="H42" i="1"/>
  <c r="G42" i="1"/>
  <c r="F42" i="1"/>
  <c r="E42" i="1"/>
  <c r="D42" i="1"/>
  <c r="C42" i="1"/>
  <c r="B42" i="1"/>
  <c r="P41" i="1"/>
  <c r="M41" i="1"/>
  <c r="L41" i="1"/>
  <c r="K41" i="1"/>
  <c r="J41" i="1"/>
  <c r="I41" i="1"/>
  <c r="H41" i="1"/>
  <c r="G41" i="1"/>
  <c r="F41" i="1"/>
  <c r="E41" i="1"/>
  <c r="D41" i="1"/>
  <c r="C41" i="1"/>
  <c r="B41" i="1"/>
  <c r="P40" i="1"/>
  <c r="M40" i="1"/>
  <c r="L40" i="1"/>
  <c r="K40" i="1"/>
  <c r="J40" i="1"/>
  <c r="I40" i="1"/>
  <c r="H40" i="1"/>
  <c r="G40" i="1"/>
  <c r="F40" i="1"/>
  <c r="E40" i="1"/>
  <c r="D40" i="1"/>
  <c r="C40" i="1"/>
  <c r="B40" i="1"/>
  <c r="P39" i="1"/>
  <c r="M39" i="1"/>
  <c r="L39" i="1"/>
  <c r="K39" i="1"/>
  <c r="J39" i="1"/>
  <c r="I39" i="1"/>
  <c r="H39" i="1"/>
  <c r="G39" i="1"/>
  <c r="F39" i="1"/>
  <c r="E39" i="1"/>
  <c r="D39" i="1"/>
  <c r="C39" i="1"/>
  <c r="B39" i="1"/>
  <c r="P38" i="1"/>
  <c r="M38" i="1"/>
  <c r="L38" i="1"/>
  <c r="K38" i="1"/>
  <c r="J38" i="1"/>
  <c r="I38" i="1"/>
  <c r="H38" i="1"/>
  <c r="G38" i="1"/>
  <c r="F38" i="1"/>
  <c r="E38" i="1"/>
  <c r="D38" i="1"/>
  <c r="C38" i="1"/>
  <c r="B38" i="1"/>
  <c r="P37" i="1"/>
  <c r="M37" i="1"/>
  <c r="L37" i="1"/>
  <c r="K37" i="1"/>
  <c r="J37" i="1"/>
  <c r="I37" i="1"/>
  <c r="H37" i="1"/>
  <c r="G37" i="1"/>
  <c r="F37" i="1"/>
  <c r="E37" i="1"/>
  <c r="D37" i="1"/>
  <c r="C37" i="1"/>
  <c r="B37" i="1"/>
  <c r="P36" i="1"/>
  <c r="M36" i="1"/>
  <c r="L36" i="1"/>
  <c r="K36" i="1"/>
  <c r="J36" i="1"/>
  <c r="I36" i="1"/>
  <c r="H36" i="1"/>
  <c r="G36" i="1"/>
  <c r="F36" i="1"/>
  <c r="E36" i="1"/>
  <c r="D36" i="1"/>
  <c r="C36" i="1"/>
  <c r="B36" i="1"/>
  <c r="P35" i="1"/>
  <c r="M35" i="1"/>
  <c r="L35" i="1"/>
  <c r="K35" i="1"/>
  <c r="J35" i="1"/>
  <c r="I35" i="1"/>
  <c r="H35" i="1"/>
  <c r="G35" i="1"/>
  <c r="F35" i="1"/>
  <c r="E35" i="1"/>
  <c r="D35" i="1"/>
  <c r="C35" i="1"/>
  <c r="B35" i="1"/>
  <c r="P34" i="1"/>
  <c r="M34" i="1"/>
  <c r="L34" i="1"/>
  <c r="K34" i="1"/>
  <c r="J34" i="1"/>
  <c r="I34" i="1"/>
  <c r="H34" i="1"/>
  <c r="G34" i="1"/>
  <c r="F34" i="1"/>
  <c r="E34" i="1"/>
  <c r="D34" i="1"/>
  <c r="C34" i="1"/>
  <c r="B34" i="1"/>
  <c r="P33" i="1"/>
  <c r="M33" i="1"/>
  <c r="L33" i="1"/>
  <c r="K33" i="1"/>
  <c r="J33" i="1"/>
  <c r="I33" i="1"/>
  <c r="H33" i="1"/>
  <c r="G33" i="1"/>
  <c r="F33" i="1"/>
  <c r="E33" i="1"/>
  <c r="D33" i="1"/>
  <c r="C33" i="1"/>
  <c r="B33" i="1"/>
  <c r="P32" i="1"/>
  <c r="M32" i="1"/>
  <c r="L32" i="1"/>
  <c r="K32" i="1"/>
  <c r="J32" i="1"/>
  <c r="I32" i="1"/>
  <c r="H32" i="1"/>
  <c r="G32" i="1"/>
  <c r="F32" i="1"/>
  <c r="E32" i="1"/>
  <c r="D32" i="1"/>
  <c r="C32" i="1"/>
  <c r="B32" i="1"/>
  <c r="P31" i="1"/>
  <c r="M31" i="1"/>
  <c r="L31" i="1"/>
  <c r="K31" i="1"/>
  <c r="J31" i="1"/>
  <c r="I31" i="1"/>
  <c r="H31" i="1"/>
  <c r="G31" i="1"/>
  <c r="F31" i="1"/>
  <c r="E31" i="1"/>
  <c r="D31" i="1"/>
  <c r="C31" i="1"/>
  <c r="B31" i="1"/>
  <c r="P30" i="1"/>
  <c r="M30" i="1"/>
  <c r="L30" i="1"/>
  <c r="K30" i="1"/>
  <c r="J30" i="1"/>
  <c r="I30" i="1"/>
  <c r="H30" i="1"/>
  <c r="G30" i="1"/>
  <c r="F30" i="1"/>
  <c r="E30" i="1"/>
  <c r="D30" i="1"/>
  <c r="C30" i="1"/>
  <c r="B30" i="1"/>
  <c r="P29" i="1"/>
  <c r="M29" i="1"/>
  <c r="L29" i="1"/>
  <c r="K29" i="1"/>
  <c r="J29" i="1"/>
  <c r="I29" i="1"/>
  <c r="H29" i="1"/>
  <c r="G29" i="1"/>
  <c r="F29" i="1"/>
  <c r="E29" i="1"/>
  <c r="D29" i="1"/>
  <c r="C29" i="1"/>
  <c r="B29" i="1"/>
  <c r="P28" i="1"/>
  <c r="M28" i="1"/>
  <c r="L28" i="1"/>
  <c r="K28" i="1"/>
  <c r="J28" i="1"/>
  <c r="I28" i="1"/>
  <c r="H28" i="1"/>
  <c r="G28" i="1"/>
  <c r="F28" i="1"/>
  <c r="E28" i="1"/>
  <c r="D28" i="1"/>
  <c r="C28" i="1"/>
  <c r="B28" i="1"/>
  <c r="P27" i="1"/>
  <c r="M27" i="1"/>
  <c r="L27" i="1"/>
  <c r="K27" i="1"/>
  <c r="J27" i="1"/>
  <c r="I27" i="1"/>
  <c r="H27" i="1"/>
  <c r="G27" i="1"/>
  <c r="F27" i="1"/>
  <c r="E27" i="1"/>
  <c r="D27" i="1"/>
  <c r="C27" i="1"/>
  <c r="B27" i="1"/>
  <c r="P26" i="1"/>
  <c r="M26" i="1"/>
  <c r="L26" i="1"/>
  <c r="K26" i="1"/>
  <c r="J26" i="1"/>
  <c r="I26" i="1"/>
  <c r="H26" i="1"/>
  <c r="G26" i="1"/>
  <c r="F26" i="1"/>
  <c r="E26" i="1"/>
  <c r="D26" i="1"/>
  <c r="C26" i="1"/>
  <c r="B26" i="1"/>
  <c r="P25" i="1"/>
  <c r="M25" i="1"/>
  <c r="L25" i="1"/>
  <c r="K25" i="1"/>
  <c r="J25" i="1"/>
  <c r="I25" i="1"/>
  <c r="H25" i="1"/>
  <c r="G25" i="1"/>
  <c r="F25" i="1"/>
  <c r="E25" i="1"/>
  <c r="D25" i="1"/>
  <c r="C25" i="1"/>
  <c r="B25" i="1"/>
  <c r="P24" i="1"/>
  <c r="M24" i="1"/>
  <c r="L24" i="1"/>
  <c r="K24" i="1"/>
  <c r="J24" i="1"/>
  <c r="I24" i="1"/>
  <c r="H24" i="1"/>
  <c r="G24" i="1"/>
  <c r="F24" i="1"/>
  <c r="E24" i="1"/>
  <c r="D24" i="1"/>
  <c r="C24" i="1"/>
  <c r="B24" i="1"/>
  <c r="P23" i="1"/>
  <c r="M23" i="1"/>
  <c r="L23" i="1"/>
  <c r="K23" i="1"/>
  <c r="J23" i="1"/>
  <c r="I23" i="1"/>
  <c r="H23" i="1"/>
  <c r="G23" i="1"/>
  <c r="F23" i="1"/>
  <c r="E23" i="1"/>
  <c r="D23" i="1"/>
  <c r="C23" i="1"/>
  <c r="B23" i="1"/>
  <c r="F16" i="1"/>
  <c r="C16" i="1"/>
  <c r="B16" i="1"/>
  <c r="E16" i="1" s="1"/>
  <c r="F15" i="1"/>
  <c r="C15" i="1"/>
  <c r="B15" i="1"/>
  <c r="E15" i="1" s="1"/>
  <c r="F14" i="1"/>
  <c r="C14" i="1"/>
  <c r="B14" i="1"/>
  <c r="F13" i="1"/>
  <c r="C13" i="1"/>
  <c r="B13" i="1"/>
  <c r="F12" i="1"/>
  <c r="C12" i="1"/>
  <c r="B12" i="1"/>
  <c r="F11" i="1"/>
  <c r="C11" i="1"/>
  <c r="B11" i="1"/>
  <c r="E11" i="1" s="1"/>
  <c r="F10" i="1"/>
  <c r="C10" i="1"/>
  <c r="B10" i="1"/>
  <c r="F9" i="1"/>
  <c r="C9" i="1"/>
  <c r="B9" i="1"/>
  <c r="E9" i="1" s="1"/>
  <c r="F8" i="1"/>
  <c r="C8" i="1"/>
  <c r="B8" i="1"/>
  <c r="F7" i="1"/>
  <c r="C7" i="1"/>
  <c r="B7" i="1"/>
  <c r="E7" i="1" s="1"/>
  <c r="F6" i="1"/>
  <c r="C6" i="1"/>
  <c r="B6" i="1"/>
  <c r="F5" i="1"/>
  <c r="C5" i="1"/>
  <c r="B5" i="1"/>
  <c r="E5" i="1" l="1"/>
  <c r="B3" i="3"/>
  <c r="D6" i="1"/>
  <c r="D10" i="1"/>
  <c r="AE6" i="3"/>
  <c r="T3" i="3" s="1"/>
  <c r="AD7" i="8"/>
  <c r="AD8" i="8" s="1"/>
  <c r="AE8" i="8" s="1"/>
  <c r="U5" i="8" s="1"/>
  <c r="S15" i="3"/>
  <c r="K3" i="7"/>
  <c r="M38" i="2"/>
  <c r="U14" i="3"/>
  <c r="V14" i="3" s="1"/>
  <c r="U12" i="4"/>
  <c r="V12" i="4" s="1"/>
  <c r="N6" i="2"/>
  <c r="P4" i="4"/>
  <c r="AD2" i="5"/>
  <c r="AD4" i="5" s="1"/>
  <c r="AI32" i="5" s="1"/>
  <c r="N6" i="6"/>
  <c r="U14" i="8"/>
  <c r="V14" i="8" s="1"/>
  <c r="K3" i="11"/>
  <c r="B3" i="8"/>
  <c r="P5" i="4"/>
  <c r="K10" i="4"/>
  <c r="AD2" i="7"/>
  <c r="AD4" i="7" s="1"/>
  <c r="M26" i="7" s="1"/>
  <c r="M37" i="12"/>
  <c r="E12" i="1"/>
  <c r="U13" i="3"/>
  <c r="V13" i="3" s="1"/>
  <c r="U14" i="7"/>
  <c r="V14" i="7" s="1"/>
  <c r="S15" i="9"/>
  <c r="M41" i="2"/>
  <c r="N6" i="3"/>
  <c r="N6" i="4"/>
  <c r="AD7" i="6"/>
  <c r="AE7" i="6" s="1"/>
  <c r="S4" i="6" s="1"/>
  <c r="M42" i="2"/>
  <c r="U12" i="5"/>
  <c r="V12" i="5" s="1"/>
  <c r="S15" i="7"/>
  <c r="M43" i="2"/>
  <c r="M38" i="8"/>
  <c r="S15" i="6"/>
  <c r="K3" i="9"/>
  <c r="E6" i="1"/>
  <c r="E8" i="1"/>
  <c r="D4" i="2"/>
  <c r="B2" i="2" s="1"/>
  <c r="AD2" i="6"/>
  <c r="O4" i="6" s="1"/>
  <c r="U13" i="6"/>
  <c r="V13" i="6" s="1"/>
  <c r="AD2" i="11"/>
  <c r="O4" i="11" s="1"/>
  <c r="T15" i="5"/>
  <c r="N6" i="9"/>
  <c r="T15" i="13"/>
  <c r="M37" i="13"/>
  <c r="M38" i="5"/>
  <c r="M38" i="13"/>
  <c r="M37" i="4"/>
  <c r="M37" i="2"/>
  <c r="M38" i="4"/>
  <c r="U14" i="5"/>
  <c r="V14" i="5" s="1"/>
  <c r="U12" i="8"/>
  <c r="V12" i="8" s="1"/>
  <c r="M39" i="2"/>
  <c r="M39" i="3"/>
  <c r="K3" i="4"/>
  <c r="S15" i="4"/>
  <c r="M40" i="4"/>
  <c r="K3" i="5"/>
  <c r="M40" i="2"/>
  <c r="M41" i="4"/>
  <c r="U13" i="9"/>
  <c r="V13" i="9" s="1"/>
  <c r="E2" i="2"/>
  <c r="M39" i="5"/>
  <c r="U12" i="13"/>
  <c r="V12" i="13" s="1"/>
  <c r="U12" i="3"/>
  <c r="V12" i="3" s="1"/>
  <c r="O3" i="4"/>
  <c r="M40" i="5"/>
  <c r="E3" i="6"/>
  <c r="S15" i="8"/>
  <c r="M41" i="5"/>
  <c r="E3" i="12"/>
  <c r="U14" i="4"/>
  <c r="V14" i="4" s="1"/>
  <c r="D46" i="1"/>
  <c r="M42" i="4"/>
  <c r="M42" i="5"/>
  <c r="M37" i="6"/>
  <c r="AD7" i="9"/>
  <c r="AE7" i="9" s="1"/>
  <c r="U12" i="12"/>
  <c r="V12" i="12" s="1"/>
  <c r="E10" i="1"/>
  <c r="M43" i="4"/>
  <c r="M43" i="5"/>
  <c r="M38" i="6"/>
  <c r="M39" i="6"/>
  <c r="G46" i="1"/>
  <c r="M40" i="6"/>
  <c r="H46" i="1"/>
  <c r="S15" i="5"/>
  <c r="U12" i="6"/>
  <c r="V12" i="6" s="1"/>
  <c r="M41" i="6"/>
  <c r="F46" i="1"/>
  <c r="I46" i="1"/>
  <c r="D8" i="1"/>
  <c r="D12" i="1"/>
  <c r="E2" i="4"/>
  <c r="U13" i="4"/>
  <c r="V13" i="4" s="1"/>
  <c r="M36" i="4"/>
  <c r="M36" i="5"/>
  <c r="M43" i="6"/>
  <c r="U12" i="7"/>
  <c r="V12" i="7" s="1"/>
  <c r="T15" i="6"/>
  <c r="M42" i="6"/>
  <c r="M37" i="5"/>
  <c r="AD8" i="12"/>
  <c r="AE7" i="12"/>
  <c r="U4" i="12" s="1"/>
  <c r="M46" i="1"/>
  <c r="S15" i="13"/>
  <c r="D14" i="1"/>
  <c r="E2" i="13"/>
  <c r="L46" i="1"/>
  <c r="M41" i="12"/>
  <c r="E3" i="13"/>
  <c r="M41" i="13"/>
  <c r="D16" i="1"/>
  <c r="M42" i="12"/>
  <c r="M42" i="13"/>
  <c r="AE6" i="12"/>
  <c r="T3" i="12" s="1"/>
  <c r="M40" i="13"/>
  <c r="E2" i="12"/>
  <c r="N6" i="13"/>
  <c r="N6" i="11"/>
  <c r="AE6" i="11"/>
  <c r="S3" i="11" s="1"/>
  <c r="M38" i="11"/>
  <c r="M39" i="11"/>
  <c r="U14" i="11"/>
  <c r="V14" i="11" s="1"/>
  <c r="M40" i="11"/>
  <c r="M41" i="11"/>
  <c r="M42" i="11"/>
  <c r="K46" i="1"/>
  <c r="M43" i="11"/>
  <c r="E14" i="1"/>
  <c r="S15" i="12"/>
  <c r="U14" i="12"/>
  <c r="V14" i="12" s="1"/>
  <c r="T15" i="11"/>
  <c r="M37" i="11"/>
  <c r="AL17" i="5"/>
  <c r="AK11" i="6"/>
  <c r="AM11" i="6" s="1"/>
  <c r="AK23" i="11"/>
  <c r="AM23" i="11" s="1"/>
  <c r="AK8" i="11"/>
  <c r="AM8" i="11" s="1"/>
  <c r="AL7" i="9"/>
  <c r="AK17" i="13"/>
  <c r="AM17" i="13" s="1"/>
  <c r="AK22" i="13"/>
  <c r="AM22" i="13" s="1"/>
  <c r="AL18" i="11"/>
  <c r="AK12" i="5"/>
  <c r="AM12" i="5" s="1"/>
  <c r="AK10" i="6"/>
  <c r="AM10" i="6" s="1"/>
  <c r="AK3" i="3"/>
  <c r="AM3" i="3" s="1"/>
  <c r="AL14" i="11"/>
  <c r="AL17" i="4"/>
  <c r="AL15" i="11"/>
  <c r="AL13" i="11"/>
  <c r="AK23" i="7"/>
  <c r="AM23" i="7" s="1"/>
  <c r="AK23" i="12"/>
  <c r="AM23" i="12" s="1"/>
  <c r="AL12" i="13"/>
  <c r="AK17" i="8"/>
  <c r="AM17" i="8" s="1"/>
  <c r="AK17" i="9"/>
  <c r="AM17" i="9" s="1"/>
  <c r="AK22" i="3"/>
  <c r="AM22" i="3" s="1"/>
  <c r="AK18" i="7"/>
  <c r="AM18" i="7" s="1"/>
  <c r="AL15" i="8"/>
  <c r="AK10" i="3"/>
  <c r="AM10" i="3" s="1"/>
  <c r="AK21" i="4"/>
  <c r="AM21" i="4" s="1"/>
  <c r="AL3" i="4"/>
  <c r="AK22" i="9"/>
  <c r="AM22" i="9" s="1"/>
  <c r="AK4" i="3"/>
  <c r="AM4" i="3" s="1"/>
  <c r="AK11" i="9"/>
  <c r="AM11" i="9" s="1"/>
  <c r="AK19" i="11"/>
  <c r="AM19" i="11" s="1"/>
  <c r="AL1" i="13"/>
  <c r="AL23" i="13"/>
  <c r="L44" i="8"/>
  <c r="M44" i="8" s="1"/>
  <c r="AL19" i="6"/>
  <c r="AK21" i="7"/>
  <c r="AM21" i="7" s="1"/>
  <c r="AL11" i="4"/>
  <c r="AL1" i="5"/>
  <c r="AL6" i="5"/>
  <c r="AK3" i="12"/>
  <c r="AM3" i="12" s="1"/>
  <c r="AK7" i="4"/>
  <c r="AM7" i="4" s="1"/>
  <c r="AL20" i="3"/>
  <c r="AL4" i="4"/>
  <c r="AK19" i="4"/>
  <c r="AM19" i="4" s="1"/>
  <c r="AL1" i="8"/>
  <c r="AL6" i="8"/>
  <c r="AL14" i="9"/>
  <c r="AL5" i="3"/>
  <c r="AL19" i="7"/>
  <c r="AL11" i="12"/>
  <c r="AK2" i="5"/>
  <c r="AM2" i="5" s="1"/>
  <c r="AK9" i="5"/>
  <c r="AM9" i="5" s="1"/>
  <c r="AL12" i="7"/>
  <c r="AL20" i="9"/>
  <c r="AK11" i="11"/>
  <c r="AM11" i="11" s="1"/>
  <c r="AL4" i="12"/>
  <c r="AL7" i="12"/>
  <c r="AL6" i="7"/>
  <c r="AK19" i="9"/>
  <c r="AM19" i="9" s="1"/>
  <c r="AL23" i="9"/>
  <c r="AK13" i="12"/>
  <c r="AM13" i="12" s="1"/>
  <c r="AK16" i="12"/>
  <c r="AM16" i="12" s="1"/>
  <c r="AK22" i="12"/>
  <c r="AM22" i="12" s="1"/>
  <c r="AK21" i="13"/>
  <c r="AM21" i="13" s="1"/>
  <c r="AK9" i="3"/>
  <c r="AM9" i="3" s="1"/>
  <c r="AK12" i="3"/>
  <c r="AM12" i="3" s="1"/>
  <c r="AK8" i="7"/>
  <c r="AM8" i="7" s="1"/>
  <c r="AL17" i="7"/>
  <c r="AK11" i="8"/>
  <c r="AM11" i="8" s="1"/>
  <c r="AK13" i="8"/>
  <c r="AM13" i="8" s="1"/>
  <c r="AK8" i="3"/>
  <c r="AM8" i="3" s="1"/>
  <c r="AL6" i="4"/>
  <c r="AL13" i="4"/>
  <c r="AL16" i="4"/>
  <c r="AL19" i="5"/>
  <c r="AK5" i="7"/>
  <c r="AM5" i="7" s="1"/>
  <c r="AK14" i="7"/>
  <c r="AM14" i="7" s="1"/>
  <c r="AL20" i="7"/>
  <c r="AL8" i="8"/>
  <c r="AL16" i="8"/>
  <c r="AL20" i="8"/>
  <c r="AK1" i="9"/>
  <c r="AM1" i="9" s="1"/>
  <c r="AK10" i="11"/>
  <c r="AM10" i="11" s="1"/>
  <c r="AL17" i="11"/>
  <c r="AK17" i="6"/>
  <c r="AM17" i="6" s="1"/>
  <c r="AL13" i="3"/>
  <c r="AK16" i="5"/>
  <c r="AM16" i="5" s="1"/>
  <c r="AK23" i="5"/>
  <c r="AM23" i="5" s="1"/>
  <c r="AL17" i="3"/>
  <c r="P46" i="1"/>
  <c r="AK2" i="3"/>
  <c r="AM2" i="3" s="1"/>
  <c r="AK13" i="6"/>
  <c r="AM13" i="6" s="1"/>
  <c r="AL16" i="6"/>
  <c r="AK20" i="6"/>
  <c r="AM20" i="6" s="1"/>
  <c r="AK3" i="7"/>
  <c r="AM3" i="7" s="1"/>
  <c r="AK20" i="11"/>
  <c r="AM20" i="11" s="1"/>
  <c r="AK9" i="12"/>
  <c r="AM9" i="12" s="1"/>
  <c r="AK20" i="12"/>
  <c r="AM20" i="12" s="1"/>
  <c r="AK5" i="13"/>
  <c r="AM5" i="13" s="1"/>
  <c r="AK8" i="9"/>
  <c r="AM8" i="9" s="1"/>
  <c r="AL5" i="12"/>
  <c r="AL3" i="13"/>
  <c r="AL9" i="13"/>
  <c r="AK6" i="3"/>
  <c r="AM6" i="3" s="1"/>
  <c r="AK19" i="3"/>
  <c r="AM19" i="3" s="1"/>
  <c r="AK7" i="5"/>
  <c r="AM7" i="5" s="1"/>
  <c r="AL14" i="5"/>
  <c r="AK15" i="13"/>
  <c r="AM15" i="13" s="1"/>
  <c r="L44" i="2"/>
  <c r="M44" i="2" s="1"/>
  <c r="AL23" i="3"/>
  <c r="AK21" i="6"/>
  <c r="AM21" i="6" s="1"/>
  <c r="AK15" i="3"/>
  <c r="AM15" i="3" s="1"/>
  <c r="AL14" i="4"/>
  <c r="AL18" i="4"/>
  <c r="AL18" i="5"/>
  <c r="AK22" i="5"/>
  <c r="AM22" i="5" s="1"/>
  <c r="AL4" i="7"/>
  <c r="AL7" i="7"/>
  <c r="AL7" i="8"/>
  <c r="AK10" i="8"/>
  <c r="AM10" i="8" s="1"/>
  <c r="AL4" i="9"/>
  <c r="AK15" i="9"/>
  <c r="AM15" i="9" s="1"/>
  <c r="AK18" i="9"/>
  <c r="AM18" i="9" s="1"/>
  <c r="AK1" i="11"/>
  <c r="AM1" i="11" s="1"/>
  <c r="AK16" i="11"/>
  <c r="AM16" i="11" s="1"/>
  <c r="AK6" i="12"/>
  <c r="AM6" i="12" s="1"/>
  <c r="AL21" i="12"/>
  <c r="AK4" i="13"/>
  <c r="AM4" i="13" s="1"/>
  <c r="AK7" i="13"/>
  <c r="AM7" i="13" s="1"/>
  <c r="AK11" i="13"/>
  <c r="AM11" i="13" s="1"/>
  <c r="AL20" i="13"/>
  <c r="AL4" i="8"/>
  <c r="AK2" i="9"/>
  <c r="AM2" i="9" s="1"/>
  <c r="AK6" i="9"/>
  <c r="AM6" i="9" s="1"/>
  <c r="AK2" i="12"/>
  <c r="AM2" i="12" s="1"/>
  <c r="AK10" i="12"/>
  <c r="AM10" i="12" s="1"/>
  <c r="AK12" i="12"/>
  <c r="AM12" i="12" s="1"/>
  <c r="AL10" i="7"/>
  <c r="AL15" i="7"/>
  <c r="AL3" i="11"/>
  <c r="AK6" i="11"/>
  <c r="AM6" i="11" s="1"/>
  <c r="AK9" i="11"/>
  <c r="AM9" i="11" s="1"/>
  <c r="AK8" i="12"/>
  <c r="AM8" i="12" s="1"/>
  <c r="AK19" i="12"/>
  <c r="AM19" i="12" s="1"/>
  <c r="AK9" i="8"/>
  <c r="AM9" i="8" s="1"/>
  <c r="AK21" i="11"/>
  <c r="AM21" i="11" s="1"/>
  <c r="AK2" i="13"/>
  <c r="AM2" i="13" s="1"/>
  <c r="AK5" i="4"/>
  <c r="AM5" i="4" s="1"/>
  <c r="AL8" i="4"/>
  <c r="AK22" i="4"/>
  <c r="AM22" i="4" s="1"/>
  <c r="AL12" i="8"/>
  <c r="AL18" i="8"/>
  <c r="AL3" i="8"/>
  <c r="AL5" i="8"/>
  <c r="AK19" i="8"/>
  <c r="AM19" i="8" s="1"/>
  <c r="AL23" i="8"/>
  <c r="AL13" i="9"/>
  <c r="AL17" i="10"/>
  <c r="B18" i="1"/>
  <c r="AL5" i="10"/>
  <c r="U12" i="10"/>
  <c r="V12" i="10" s="1"/>
  <c r="S15" i="10"/>
  <c r="AK7" i="10"/>
  <c r="AM7" i="10" s="1"/>
  <c r="AK14" i="10"/>
  <c r="AM14" i="10" s="1"/>
  <c r="N34" i="1"/>
  <c r="N35" i="1"/>
  <c r="AH35" i="1" s="1"/>
  <c r="N23" i="1"/>
  <c r="E13" i="1"/>
  <c r="N33" i="1"/>
  <c r="N45" i="1"/>
  <c r="AH45" i="1" s="1"/>
  <c r="M42" i="10"/>
  <c r="T15" i="10"/>
  <c r="D4" i="10"/>
  <c r="B2" i="10" s="1"/>
  <c r="N36" i="1"/>
  <c r="AH36" i="1" s="1"/>
  <c r="N24" i="1"/>
  <c r="AH24" i="1" s="1"/>
  <c r="AE6" i="10"/>
  <c r="U3" i="10" s="1"/>
  <c r="N25" i="1"/>
  <c r="AL6" i="10"/>
  <c r="AL11" i="10"/>
  <c r="AK13" i="10"/>
  <c r="AM13" i="10" s="1"/>
  <c r="F17" i="1"/>
  <c r="N26" i="1"/>
  <c r="AH26" i="1" s="1"/>
  <c r="S15" i="11"/>
  <c r="AK3" i="10"/>
  <c r="AM3" i="10" s="1"/>
  <c r="U12" i="11"/>
  <c r="V12" i="11" s="1"/>
  <c r="N27" i="1"/>
  <c r="N28" i="1"/>
  <c r="AH28" i="1" s="1"/>
  <c r="N40" i="1"/>
  <c r="N41" i="1"/>
  <c r="N30" i="1"/>
  <c r="AH30" i="1" s="1"/>
  <c r="N42" i="1"/>
  <c r="AH42" i="1" s="1"/>
  <c r="M40" i="10"/>
  <c r="N38" i="1"/>
  <c r="N29" i="1"/>
  <c r="AH29" i="1" s="1"/>
  <c r="J46" i="1"/>
  <c r="N31" i="1"/>
  <c r="AH31" i="1" s="1"/>
  <c r="N43" i="1"/>
  <c r="AH43" i="1" s="1"/>
  <c r="U13" i="11"/>
  <c r="V13" i="11" s="1"/>
  <c r="U13" i="10"/>
  <c r="V13" i="10" s="1"/>
  <c r="AK23" i="10"/>
  <c r="AM23" i="10" s="1"/>
  <c r="N32" i="1"/>
  <c r="N44" i="1"/>
  <c r="AH44" i="1" s="1"/>
  <c r="M28" i="13"/>
  <c r="AN1" i="2"/>
  <c r="AO1" i="2" s="1"/>
  <c r="S3" i="2"/>
  <c r="V3" i="2"/>
  <c r="U3" i="2"/>
  <c r="T3" i="2"/>
  <c r="AL1" i="4"/>
  <c r="AK1" i="4"/>
  <c r="AM1" i="4" s="1"/>
  <c r="C46" i="1"/>
  <c r="AD7" i="2"/>
  <c r="AL1" i="3"/>
  <c r="AK1" i="3"/>
  <c r="AM1" i="3" s="1"/>
  <c r="AL16" i="3"/>
  <c r="AK16" i="3"/>
  <c r="AM16" i="3" s="1"/>
  <c r="M38" i="3"/>
  <c r="B46" i="1"/>
  <c r="M15" i="2"/>
  <c r="B3" i="2"/>
  <c r="AL5" i="5"/>
  <c r="AK5" i="5"/>
  <c r="AM5" i="5" s="1"/>
  <c r="AE7" i="3"/>
  <c r="AD8" i="3"/>
  <c r="AL14" i="3"/>
  <c r="AK14" i="3"/>
  <c r="AM14" i="3" s="1"/>
  <c r="AL15" i="4"/>
  <c r="B17" i="1"/>
  <c r="D4" i="3"/>
  <c r="B2" i="3" s="1"/>
  <c r="E3" i="3"/>
  <c r="T15" i="3"/>
  <c r="M15" i="3"/>
  <c r="AL21" i="3"/>
  <c r="AK21" i="3"/>
  <c r="AM21" i="3" s="1"/>
  <c r="M40" i="3"/>
  <c r="AL21" i="5"/>
  <c r="AK21" i="5"/>
  <c r="AM21" i="5" s="1"/>
  <c r="AL18" i="6"/>
  <c r="AK18" i="6"/>
  <c r="AM18" i="6" s="1"/>
  <c r="M27" i="7"/>
  <c r="E3" i="7"/>
  <c r="M43" i="7"/>
  <c r="M39" i="7"/>
  <c r="B3" i="7"/>
  <c r="M36" i="2"/>
  <c r="E2" i="3"/>
  <c r="M41" i="3"/>
  <c r="AK2" i="4"/>
  <c r="AM2" i="4" s="1"/>
  <c r="AL2" i="4"/>
  <c r="M15" i="5"/>
  <c r="E2" i="5"/>
  <c r="B3" i="5"/>
  <c r="D4" i="5"/>
  <c r="E3" i="5"/>
  <c r="AL3" i="6"/>
  <c r="AK3" i="6"/>
  <c r="AM3" i="6" s="1"/>
  <c r="C17" i="1"/>
  <c r="F52" i="1" s="1"/>
  <c r="D5" i="1"/>
  <c r="G5" i="1" s="1"/>
  <c r="G6" i="1" s="1"/>
  <c r="D7" i="1"/>
  <c r="D9" i="1"/>
  <c r="D11" i="1"/>
  <c r="D13" i="1"/>
  <c r="D15" i="1"/>
  <c r="N39" i="1"/>
  <c r="AD2" i="3"/>
  <c r="O3" i="3" s="1"/>
  <c r="U13" i="5"/>
  <c r="V13" i="5" s="1"/>
  <c r="K10" i="2"/>
  <c r="K3" i="2"/>
  <c r="AD2" i="2"/>
  <c r="AL7" i="3"/>
  <c r="AL11" i="3"/>
  <c r="M42" i="3"/>
  <c r="AL18" i="3"/>
  <c r="AK18" i="3"/>
  <c r="AM18" i="3" s="1"/>
  <c r="L44" i="3"/>
  <c r="M44" i="3" s="1"/>
  <c r="M36" i="3"/>
  <c r="M43" i="3"/>
  <c r="L44" i="6"/>
  <c r="M44" i="6" s="1"/>
  <c r="M36" i="6"/>
  <c r="E46" i="1"/>
  <c r="N37" i="1"/>
  <c r="AL20" i="4"/>
  <c r="AK20" i="4"/>
  <c r="AM20" i="4" s="1"/>
  <c r="AL4" i="5"/>
  <c r="AK4" i="5"/>
  <c r="AM4" i="5" s="1"/>
  <c r="E3" i="2"/>
  <c r="K10" i="3"/>
  <c r="AD4" i="4"/>
  <c r="AD3" i="4"/>
  <c r="M25" i="4" s="1"/>
  <c r="O5" i="4"/>
  <c r="O4" i="4"/>
  <c r="AK9" i="4"/>
  <c r="AM9" i="4" s="1"/>
  <c r="AL9" i="4"/>
  <c r="AL12" i="4"/>
  <c r="AK12" i="4"/>
  <c r="AM12" i="4" s="1"/>
  <c r="L44" i="4"/>
  <c r="M44" i="4" s="1"/>
  <c r="AK11" i="5"/>
  <c r="AM11" i="5" s="1"/>
  <c r="AL11" i="5"/>
  <c r="AK7" i="6"/>
  <c r="AM7" i="6" s="1"/>
  <c r="AL7" i="6"/>
  <c r="AK1" i="7"/>
  <c r="AM1" i="7" s="1"/>
  <c r="AL1" i="7"/>
  <c r="D4" i="4"/>
  <c r="AL10" i="4"/>
  <c r="AL3" i="5"/>
  <c r="AK3" i="5"/>
  <c r="AM3" i="5" s="1"/>
  <c r="AK2" i="6"/>
  <c r="AM2" i="6" s="1"/>
  <c r="AL2" i="6"/>
  <c r="AK9" i="6"/>
  <c r="AM9" i="6" s="1"/>
  <c r="AL9" i="6"/>
  <c r="M42" i="7"/>
  <c r="N6" i="8"/>
  <c r="S3" i="7"/>
  <c r="T3" i="7"/>
  <c r="V3" i="7"/>
  <c r="U3" i="7"/>
  <c r="AL11" i="7"/>
  <c r="AK11" i="7"/>
  <c r="AM11" i="7" s="1"/>
  <c r="M27" i="4"/>
  <c r="N6" i="5"/>
  <c r="M36" i="7"/>
  <c r="L44" i="7"/>
  <c r="M44" i="7" s="1"/>
  <c r="M37" i="3"/>
  <c r="M39" i="4"/>
  <c r="K3" i="6"/>
  <c r="V3" i="6"/>
  <c r="U3" i="6"/>
  <c r="T3" i="6"/>
  <c r="M37" i="7"/>
  <c r="E3" i="4"/>
  <c r="AK23" i="4"/>
  <c r="AM23" i="4" s="1"/>
  <c r="AK8" i="5"/>
  <c r="AM8" i="5" s="1"/>
  <c r="AL13" i="5"/>
  <c r="AL12" i="6"/>
  <c r="AL14" i="6"/>
  <c r="AK14" i="6"/>
  <c r="AM14" i="6" s="1"/>
  <c r="T15" i="4"/>
  <c r="AL20" i="5"/>
  <c r="AK20" i="5"/>
  <c r="AM20" i="5" s="1"/>
  <c r="AL6" i="6"/>
  <c r="P3" i="4"/>
  <c r="AD7" i="4"/>
  <c r="AE6" i="4"/>
  <c r="AD7" i="5"/>
  <c r="AE6" i="5"/>
  <c r="AL10" i="5"/>
  <c r="AK10" i="5"/>
  <c r="AM10" i="5" s="1"/>
  <c r="E2" i="6"/>
  <c r="B3" i="6"/>
  <c r="D4" i="6"/>
  <c r="S3" i="6"/>
  <c r="M15" i="6"/>
  <c r="AL15" i="5"/>
  <c r="AK15" i="5"/>
  <c r="AM15" i="5" s="1"/>
  <c r="L44" i="5"/>
  <c r="M44" i="5" s="1"/>
  <c r="AL23" i="6"/>
  <c r="AK23" i="6"/>
  <c r="AM23" i="6" s="1"/>
  <c r="T15" i="7"/>
  <c r="U13" i="7"/>
  <c r="V13" i="7" s="1"/>
  <c r="M40" i="7"/>
  <c r="K10" i="8"/>
  <c r="K3" i="8"/>
  <c r="M27" i="8"/>
  <c r="M42" i="8"/>
  <c r="E3" i="8"/>
  <c r="AK9" i="7"/>
  <c r="AM9" i="7" s="1"/>
  <c r="B3" i="4"/>
  <c r="M39" i="8"/>
  <c r="M15" i="7"/>
  <c r="E2" i="7"/>
  <c r="B3" i="9"/>
  <c r="U14" i="6"/>
  <c r="V14" i="6" s="1"/>
  <c r="N6" i="7"/>
  <c r="AK16" i="7"/>
  <c r="AM16" i="7" s="1"/>
  <c r="M41" i="7"/>
  <c r="M40" i="8"/>
  <c r="AK4" i="6"/>
  <c r="AM4" i="6" s="1"/>
  <c r="D4" i="7"/>
  <c r="AD7" i="7"/>
  <c r="AK13" i="7"/>
  <c r="AM13" i="7" s="1"/>
  <c r="AD2" i="8"/>
  <c r="O4" i="8" s="1"/>
  <c r="AK1" i="6"/>
  <c r="AM1" i="6" s="1"/>
  <c r="AK5" i="6"/>
  <c r="AM5" i="6" s="1"/>
  <c r="AK8" i="6"/>
  <c r="AM8" i="6" s="1"/>
  <c r="AK15" i="6"/>
  <c r="AM15" i="6" s="1"/>
  <c r="AK22" i="6"/>
  <c r="AM22" i="6" s="1"/>
  <c r="M41" i="8"/>
  <c r="M37" i="9"/>
  <c r="M39" i="9"/>
  <c r="M38" i="9"/>
  <c r="E3" i="9"/>
  <c r="M27" i="9"/>
  <c r="AL2" i="7"/>
  <c r="AK2" i="7"/>
  <c r="AM2" i="7" s="1"/>
  <c r="M38" i="7"/>
  <c r="AD9" i="10"/>
  <c r="AE8" i="10"/>
  <c r="AL22" i="7"/>
  <c r="AL2" i="8"/>
  <c r="M36" i="8"/>
  <c r="M43" i="8"/>
  <c r="AK10" i="9"/>
  <c r="AM10" i="9" s="1"/>
  <c r="AL10" i="9"/>
  <c r="M15" i="10"/>
  <c r="E2" i="10"/>
  <c r="B3" i="10"/>
  <c r="AL20" i="10"/>
  <c r="AK20" i="10"/>
  <c r="AM20" i="10" s="1"/>
  <c r="AL14" i="8"/>
  <c r="AL22" i="8"/>
  <c r="AL3" i="9"/>
  <c r="AK12" i="9"/>
  <c r="AM12" i="9" s="1"/>
  <c r="E2" i="11"/>
  <c r="B3" i="11"/>
  <c r="M15" i="11"/>
  <c r="D4" i="11"/>
  <c r="E3" i="11"/>
  <c r="AL17" i="12"/>
  <c r="AK17" i="12"/>
  <c r="AM17" i="12" s="1"/>
  <c r="D4" i="8"/>
  <c r="E2" i="9"/>
  <c r="D4" i="9"/>
  <c r="M40" i="9"/>
  <c r="AK9" i="10"/>
  <c r="AM9" i="10" s="1"/>
  <c r="AL9" i="10"/>
  <c r="AL6" i="13"/>
  <c r="AK6" i="13"/>
  <c r="AM6" i="13" s="1"/>
  <c r="E2" i="8"/>
  <c r="AL21" i="8"/>
  <c r="M37" i="8"/>
  <c r="AD2" i="9"/>
  <c r="O4" i="9" s="1"/>
  <c r="S3" i="9"/>
  <c r="U3" i="9"/>
  <c r="M15" i="9"/>
  <c r="M41" i="9"/>
  <c r="N6" i="10"/>
  <c r="T3" i="9"/>
  <c r="L44" i="9"/>
  <c r="M44" i="9" s="1"/>
  <c r="M42" i="9"/>
  <c r="V3" i="9"/>
  <c r="AK9" i="9"/>
  <c r="AM9" i="9" s="1"/>
  <c r="M36" i="9"/>
  <c r="K10" i="12"/>
  <c r="AD2" i="12"/>
  <c r="O4" i="12" s="1"/>
  <c r="K3" i="12"/>
  <c r="V3" i="8"/>
  <c r="T3" i="8"/>
  <c r="T15" i="8"/>
  <c r="U13" i="8"/>
  <c r="V13" i="8" s="1"/>
  <c r="U14" i="9"/>
  <c r="V14" i="9" s="1"/>
  <c r="U3" i="8"/>
  <c r="AL5" i="9"/>
  <c r="AK5" i="9"/>
  <c r="AM5" i="9" s="1"/>
  <c r="E3" i="10"/>
  <c r="M27" i="10"/>
  <c r="M38" i="10"/>
  <c r="AL14" i="13"/>
  <c r="AK14" i="13"/>
  <c r="AM14" i="13" s="1"/>
  <c r="AL18" i="13"/>
  <c r="AK18" i="13"/>
  <c r="AM18" i="13" s="1"/>
  <c r="AE7" i="10"/>
  <c r="L44" i="12"/>
  <c r="M44" i="12" s="1"/>
  <c r="AL15" i="10"/>
  <c r="AK15" i="10"/>
  <c r="AM15" i="10" s="1"/>
  <c r="T15" i="9"/>
  <c r="M41" i="10"/>
  <c r="AK21" i="9"/>
  <c r="AM21" i="9" s="1"/>
  <c r="M43" i="9"/>
  <c r="U14" i="10"/>
  <c r="V14" i="10" s="1"/>
  <c r="AK21" i="10"/>
  <c r="AM21" i="10" s="1"/>
  <c r="AK16" i="13"/>
  <c r="AM16" i="13" s="1"/>
  <c r="AL16" i="13"/>
  <c r="AL16" i="9"/>
  <c r="AL2" i="10"/>
  <c r="AL10" i="10"/>
  <c r="AK16" i="10"/>
  <c r="AM16" i="10" s="1"/>
  <c r="M36" i="10"/>
  <c r="AL22" i="11"/>
  <c r="AK22" i="11"/>
  <c r="AM22" i="11" s="1"/>
  <c r="AL15" i="12"/>
  <c r="AK15" i="12"/>
  <c r="AM15" i="12" s="1"/>
  <c r="K3" i="10"/>
  <c r="AD2" i="10"/>
  <c r="O3" i="10" s="1"/>
  <c r="AL12" i="10"/>
  <c r="AK12" i="10"/>
  <c r="AM12" i="10" s="1"/>
  <c r="AL19" i="10"/>
  <c r="AK19" i="10"/>
  <c r="AM19" i="10" s="1"/>
  <c r="L44" i="10"/>
  <c r="M44" i="10" s="1"/>
  <c r="M43" i="10"/>
  <c r="AD8" i="11"/>
  <c r="AE7" i="11"/>
  <c r="AL8" i="10"/>
  <c r="AK8" i="10"/>
  <c r="AM8" i="10" s="1"/>
  <c r="AK22" i="10"/>
  <c r="AM22" i="10" s="1"/>
  <c r="M37" i="10"/>
  <c r="U12" i="9"/>
  <c r="V12" i="9" s="1"/>
  <c r="AK1" i="10"/>
  <c r="AM1" i="10" s="1"/>
  <c r="AK4" i="10"/>
  <c r="AM4" i="10" s="1"/>
  <c r="D4" i="12"/>
  <c r="M40" i="12"/>
  <c r="M36" i="12"/>
  <c r="M43" i="13"/>
  <c r="M39" i="13"/>
  <c r="U13" i="12"/>
  <c r="V13" i="12" s="1"/>
  <c r="T15" i="12"/>
  <c r="U13" i="13"/>
  <c r="V13" i="13" s="1"/>
  <c r="AK18" i="10"/>
  <c r="AM18" i="10" s="1"/>
  <c r="AK4" i="11"/>
  <c r="AM4" i="11" s="1"/>
  <c r="AK5" i="11"/>
  <c r="AM5" i="11" s="1"/>
  <c r="AK7" i="11"/>
  <c r="AM7" i="11" s="1"/>
  <c r="AK1" i="12"/>
  <c r="AM1" i="12" s="1"/>
  <c r="M39" i="10"/>
  <c r="O3" i="13"/>
  <c r="M36" i="13"/>
  <c r="L44" i="11"/>
  <c r="M44" i="11" s="1"/>
  <c r="AL14" i="12"/>
  <c r="AK14" i="12"/>
  <c r="AM14" i="12" s="1"/>
  <c r="M27" i="12"/>
  <c r="M38" i="12"/>
  <c r="P3" i="13"/>
  <c r="O4" i="13"/>
  <c r="AK2" i="11"/>
  <c r="AM2" i="11" s="1"/>
  <c r="AK12" i="11"/>
  <c r="AM12" i="11" s="1"/>
  <c r="M36" i="11"/>
  <c r="M43" i="12"/>
  <c r="P4" i="13"/>
  <c r="O5" i="13"/>
  <c r="AL8" i="13"/>
  <c r="AK8" i="13"/>
  <c r="AM8" i="13" s="1"/>
  <c r="AL10" i="13"/>
  <c r="AL13" i="13"/>
  <c r="AK13" i="13"/>
  <c r="AM13" i="13" s="1"/>
  <c r="M15" i="12"/>
  <c r="AL18" i="12"/>
  <c r="AK18" i="12"/>
  <c r="AM18" i="12" s="1"/>
  <c r="P5" i="13"/>
  <c r="N6" i="12"/>
  <c r="M39" i="12"/>
  <c r="K10" i="13"/>
  <c r="K3" i="13"/>
  <c r="U14" i="13"/>
  <c r="V14" i="13" s="1"/>
  <c r="AD4" i="13"/>
  <c r="AD7" i="13"/>
  <c r="AE6" i="13"/>
  <c r="AL19" i="13"/>
  <c r="AK19" i="13"/>
  <c r="AM19" i="13" s="1"/>
  <c r="L44" i="13"/>
  <c r="M44" i="13" s="1"/>
  <c r="D4" i="13"/>
  <c r="B2" i="13" s="1"/>
  <c r="B3" i="13"/>
  <c r="P3" i="6" l="1"/>
  <c r="T3" i="11"/>
  <c r="V3" i="11"/>
  <c r="AD4" i="11"/>
  <c r="V4" i="6"/>
  <c r="T4" i="6"/>
  <c r="P5" i="6"/>
  <c r="S3" i="3"/>
  <c r="O3" i="6"/>
  <c r="V3" i="3"/>
  <c r="U3" i="3"/>
  <c r="AD9" i="8"/>
  <c r="AD10" i="8" s="1"/>
  <c r="AE10" i="8" s="1"/>
  <c r="S7" i="8" s="1"/>
  <c r="P3" i="11"/>
  <c r="U4" i="6"/>
  <c r="P4" i="11"/>
  <c r="AD8" i="6"/>
  <c r="AD9" i="6" s="1"/>
  <c r="AE7" i="8"/>
  <c r="V4" i="8" s="1"/>
  <c r="U15" i="3"/>
  <c r="V15" i="3" s="1"/>
  <c r="T5" i="8"/>
  <c r="AD3" i="11"/>
  <c r="M25" i="11" s="1"/>
  <c r="M32" i="11" s="1"/>
  <c r="S5" i="8"/>
  <c r="V5" i="8"/>
  <c r="U15" i="7"/>
  <c r="V15" i="7" s="1"/>
  <c r="P5" i="7"/>
  <c r="AI32" i="7"/>
  <c r="U15" i="6"/>
  <c r="V15" i="6" s="1"/>
  <c r="P4" i="7"/>
  <c r="P3" i="7"/>
  <c r="U15" i="5"/>
  <c r="V15" i="5" s="1"/>
  <c r="O5" i="7"/>
  <c r="AD3" i="7"/>
  <c r="AH31" i="7" s="1"/>
  <c r="O4" i="7"/>
  <c r="O3" i="7"/>
  <c r="AD8" i="9"/>
  <c r="AE8" i="9" s="1"/>
  <c r="O4" i="5"/>
  <c r="P5" i="11"/>
  <c r="O3" i="11"/>
  <c r="O5" i="11"/>
  <c r="P3" i="3"/>
  <c r="U3" i="12"/>
  <c r="P5" i="5"/>
  <c r="P3" i="5"/>
  <c r="O3" i="5"/>
  <c r="M26" i="5"/>
  <c r="U15" i="8"/>
  <c r="V15" i="8" s="1"/>
  <c r="P4" i="5"/>
  <c r="U15" i="9"/>
  <c r="V15" i="9" s="1"/>
  <c r="P3" i="10"/>
  <c r="AD3" i="5"/>
  <c r="M25" i="5" s="1"/>
  <c r="M28" i="5" s="1"/>
  <c r="O5" i="5"/>
  <c r="P4" i="12"/>
  <c r="P5" i="8"/>
  <c r="AD4" i="6"/>
  <c r="M26" i="6" s="1"/>
  <c r="P4" i="6"/>
  <c r="U15" i="4"/>
  <c r="V15" i="4" s="1"/>
  <c r="U15" i="13"/>
  <c r="V15" i="13" s="1"/>
  <c r="P4" i="3"/>
  <c r="P4" i="9"/>
  <c r="O5" i="3"/>
  <c r="O5" i="9"/>
  <c r="P5" i="3"/>
  <c r="P4" i="8"/>
  <c r="P5" i="2"/>
  <c r="P4" i="2"/>
  <c r="AD3" i="6"/>
  <c r="AH24" i="6" s="1"/>
  <c r="O5" i="6"/>
  <c r="P3" i="9"/>
  <c r="G7" i="1"/>
  <c r="G8" i="1" s="1"/>
  <c r="G9" i="1" s="1"/>
  <c r="G10" i="1" s="1"/>
  <c r="G11" i="1" s="1"/>
  <c r="G12" i="1" s="1"/>
  <c r="G13" i="1" s="1"/>
  <c r="G14" i="1" s="1"/>
  <c r="G15" i="1" s="1"/>
  <c r="G16" i="1" s="1"/>
  <c r="U3" i="11"/>
  <c r="S3" i="12"/>
  <c r="V3" i="12"/>
  <c r="V4" i="12"/>
  <c r="S4" i="12"/>
  <c r="T4" i="12"/>
  <c r="AD9" i="12"/>
  <c r="AE8" i="12"/>
  <c r="U15" i="12"/>
  <c r="V15" i="12" s="1"/>
  <c r="U15" i="11"/>
  <c r="V15" i="11" s="1"/>
  <c r="O40" i="1"/>
  <c r="Q40" i="1" s="1"/>
  <c r="O38" i="1"/>
  <c r="Q38" i="1" s="1"/>
  <c r="O33" i="1"/>
  <c r="Q33" i="1" s="1"/>
  <c r="O23" i="1"/>
  <c r="Q23" i="1" s="1"/>
  <c r="O32" i="1"/>
  <c r="Q32" i="1" s="1"/>
  <c r="O41" i="1"/>
  <c r="Q41" i="1" s="1"/>
  <c r="O25" i="1"/>
  <c r="Q25" i="1" s="1"/>
  <c r="O34" i="1"/>
  <c r="Q34" i="1" s="1"/>
  <c r="AN1" i="8"/>
  <c r="AO1" i="8" s="1"/>
  <c r="AN1" i="5"/>
  <c r="AO1" i="5" s="1"/>
  <c r="AN1" i="11"/>
  <c r="AO1" i="11" s="1"/>
  <c r="AN1" i="13"/>
  <c r="AO1" i="13" s="1"/>
  <c r="AN1" i="9"/>
  <c r="AN2" i="9" s="1"/>
  <c r="AN2" i="2"/>
  <c r="AO2" i="2" s="1"/>
  <c r="U15" i="10"/>
  <c r="V15" i="10" s="1"/>
  <c r="AH23" i="1"/>
  <c r="O27" i="1"/>
  <c r="Q27" i="1" s="1"/>
  <c r="AH40" i="1"/>
  <c r="O35" i="1"/>
  <c r="Q35" i="1" s="1"/>
  <c r="AH34" i="1"/>
  <c r="O45" i="1"/>
  <c r="Q45" i="1" s="1"/>
  <c r="O28" i="1"/>
  <c r="Q28" i="1" s="1"/>
  <c r="AH33" i="1"/>
  <c r="AH41" i="1"/>
  <c r="O44" i="1"/>
  <c r="Q44" i="1" s="1"/>
  <c r="AH32" i="1"/>
  <c r="O24" i="1"/>
  <c r="Q24" i="1" s="1"/>
  <c r="O6" i="4"/>
  <c r="M16" i="4" s="1"/>
  <c r="M17" i="4" s="1"/>
  <c r="O42" i="1"/>
  <c r="Q42" i="1" s="1"/>
  <c r="O30" i="1"/>
  <c r="Q30" i="1" s="1"/>
  <c r="AH38" i="1"/>
  <c r="O36" i="1"/>
  <c r="Q36" i="1" s="1"/>
  <c r="AH27" i="1"/>
  <c r="N46" i="1"/>
  <c r="O46" i="1" s="1"/>
  <c r="Q46" i="1" s="1"/>
  <c r="O43" i="1"/>
  <c r="Q43" i="1" s="1"/>
  <c r="O29" i="1"/>
  <c r="Q29" i="1" s="1"/>
  <c r="O26" i="1"/>
  <c r="Q26" i="1" s="1"/>
  <c r="O31" i="1"/>
  <c r="Q31" i="1" s="1"/>
  <c r="AH25" i="1"/>
  <c r="V3" i="10"/>
  <c r="T3" i="10"/>
  <c r="S3" i="10"/>
  <c r="M28" i="4"/>
  <c r="O6" i="13"/>
  <c r="M16" i="13" s="1"/>
  <c r="M17" i="13" s="1"/>
  <c r="O3" i="8"/>
  <c r="E17" i="1"/>
  <c r="D17" i="1"/>
  <c r="O4" i="2"/>
  <c r="AN1" i="4"/>
  <c r="AO1" i="4" s="1"/>
  <c r="O3" i="12"/>
  <c r="AD4" i="12"/>
  <c r="P5" i="12"/>
  <c r="P3" i="12"/>
  <c r="O5" i="12"/>
  <c r="AD3" i="12"/>
  <c r="M25" i="12" s="1"/>
  <c r="M32" i="12" s="1"/>
  <c r="U5" i="10"/>
  <c r="V5" i="10"/>
  <c r="T5" i="10"/>
  <c r="S5" i="10"/>
  <c r="V4" i="9"/>
  <c r="T4" i="9"/>
  <c r="U4" i="9"/>
  <c r="S4" i="9"/>
  <c r="B19" i="1"/>
  <c r="AI17" i="13" s="1"/>
  <c r="F51" i="1"/>
  <c r="F53" i="1"/>
  <c r="F57" i="1"/>
  <c r="F56" i="1"/>
  <c r="AH32" i="13"/>
  <c r="AH29" i="13"/>
  <c r="AH26" i="13"/>
  <c r="AH17" i="13"/>
  <c r="AH30" i="13"/>
  <c r="AH27" i="13"/>
  <c r="AH24" i="13"/>
  <c r="AH23" i="13"/>
  <c r="AH11" i="13"/>
  <c r="AH3" i="13"/>
  <c r="M26" i="13"/>
  <c r="M29" i="13" s="1"/>
  <c r="M18" i="13" s="1"/>
  <c r="AH19" i="13"/>
  <c r="AH15" i="13"/>
  <c r="AH7" i="13"/>
  <c r="AH2" i="13"/>
  <c r="AH25" i="13"/>
  <c r="AH12" i="13"/>
  <c r="AH13" i="13"/>
  <c r="AH10" i="13"/>
  <c r="AH8" i="13"/>
  <c r="AH20" i="13"/>
  <c r="AH28" i="13"/>
  <c r="AH16" i="13"/>
  <c r="AH31" i="13"/>
  <c r="AH22" i="13"/>
  <c r="AH18" i="13"/>
  <c r="AH14" i="13"/>
  <c r="AH6" i="13"/>
  <c r="AH5" i="13"/>
  <c r="AH4" i="13"/>
  <c r="AH9" i="13"/>
  <c r="AH21" i="13"/>
  <c r="P5" i="9"/>
  <c r="AD4" i="8"/>
  <c r="AD3" i="8"/>
  <c r="M25" i="8" s="1"/>
  <c r="O5" i="8"/>
  <c r="AN1" i="10"/>
  <c r="M26" i="11"/>
  <c r="O4" i="10"/>
  <c r="S3" i="5"/>
  <c r="V3" i="5"/>
  <c r="U3" i="5"/>
  <c r="T3" i="5"/>
  <c r="AE8" i="3"/>
  <c r="AD9" i="3"/>
  <c r="AE7" i="5"/>
  <c r="AD8" i="5"/>
  <c r="O37" i="1"/>
  <c r="Q37" i="1" s="1"/>
  <c r="AH37" i="1"/>
  <c r="V4" i="3"/>
  <c r="S4" i="3"/>
  <c r="U4" i="3"/>
  <c r="T4" i="3"/>
  <c r="AN1" i="3"/>
  <c r="U4" i="10"/>
  <c r="T4" i="10"/>
  <c r="V4" i="10"/>
  <c r="S4" i="10"/>
  <c r="AD8" i="7"/>
  <c r="AE7" i="7"/>
  <c r="AD4" i="3"/>
  <c r="AD3" i="3"/>
  <c r="M25" i="3" s="1"/>
  <c r="O4" i="3"/>
  <c r="AE9" i="10"/>
  <c r="AD10" i="10"/>
  <c r="AE10" i="10" s="1"/>
  <c r="AE7" i="13"/>
  <c r="AD8" i="13"/>
  <c r="AD4" i="10"/>
  <c r="O5" i="10"/>
  <c r="AD3" i="10"/>
  <c r="M25" i="10" s="1"/>
  <c r="M28" i="10" s="1"/>
  <c r="P4" i="10"/>
  <c r="AD4" i="9"/>
  <c r="AD3" i="9"/>
  <c r="M25" i="9" s="1"/>
  <c r="M28" i="9" s="1"/>
  <c r="O3" i="9"/>
  <c r="U3" i="4"/>
  <c r="S3" i="4"/>
  <c r="V3" i="4"/>
  <c r="T3" i="4"/>
  <c r="AN1" i="7"/>
  <c r="AH39" i="1"/>
  <c r="O39" i="1"/>
  <c r="Q39" i="1" s="1"/>
  <c r="AD8" i="2"/>
  <c r="AE7" i="2"/>
  <c r="AN1" i="12"/>
  <c r="AO1" i="12" s="1"/>
  <c r="U4" i="11"/>
  <c r="T4" i="11"/>
  <c r="S4" i="11"/>
  <c r="V4" i="11"/>
  <c r="AE7" i="4"/>
  <c r="AD8" i="4"/>
  <c r="P3" i="8"/>
  <c r="AH31" i="4"/>
  <c r="AH28" i="4"/>
  <c r="AH25" i="4"/>
  <c r="AH19" i="4"/>
  <c r="AH13" i="4"/>
  <c r="AH8" i="4"/>
  <c r="AH6" i="4"/>
  <c r="AH29" i="4"/>
  <c r="AH12" i="4"/>
  <c r="AH24" i="4"/>
  <c r="AH21" i="4"/>
  <c r="AH7" i="4"/>
  <c r="AH5" i="4"/>
  <c r="AH10" i="4"/>
  <c r="AH32" i="4"/>
  <c r="AH4" i="4"/>
  <c r="AH22" i="4"/>
  <c r="AH18" i="4"/>
  <c r="AH27" i="4"/>
  <c r="AH16" i="4"/>
  <c r="AH3" i="4"/>
  <c r="AH23" i="4"/>
  <c r="AH30" i="4"/>
  <c r="AH11" i="4"/>
  <c r="AH9" i="4"/>
  <c r="AH17" i="4"/>
  <c r="AH15" i="4"/>
  <c r="AH14" i="4"/>
  <c r="AH20" i="4"/>
  <c r="AH2" i="4"/>
  <c r="AH26" i="4"/>
  <c r="M26" i="4"/>
  <c r="F55" i="1"/>
  <c r="F54" i="1"/>
  <c r="V3" i="13"/>
  <c r="U3" i="13"/>
  <c r="T3" i="13"/>
  <c r="S3" i="13"/>
  <c r="AD3" i="2"/>
  <c r="M25" i="2" s="1"/>
  <c r="P3" i="2"/>
  <c r="AD4" i="2"/>
  <c r="O5" i="2"/>
  <c r="O3" i="2"/>
  <c r="AN1" i="6"/>
  <c r="AO1" i="6" s="1"/>
  <c r="P5" i="10"/>
  <c r="AD9" i="11"/>
  <c r="AE8" i="11"/>
  <c r="F50" i="1"/>
  <c r="AI16" i="13" l="1"/>
  <c r="V7" i="8"/>
  <c r="U7" i="8"/>
  <c r="T7" i="8"/>
  <c r="O6" i="6"/>
  <c r="M16" i="6" s="1"/>
  <c r="M17" i="6" s="1"/>
  <c r="AE9" i="8"/>
  <c r="V6" i="8" s="1"/>
  <c r="AH16" i="7"/>
  <c r="AH14" i="6"/>
  <c r="AH12" i="5"/>
  <c r="AH30" i="11"/>
  <c r="AH2" i="7"/>
  <c r="AH3" i="11"/>
  <c r="AH24" i="5"/>
  <c r="AH29" i="6"/>
  <c r="AH22" i="7"/>
  <c r="T4" i="8"/>
  <c r="AH7" i="5"/>
  <c r="U4" i="8"/>
  <c r="S4" i="8"/>
  <c r="AH25" i="5"/>
  <c r="AE8" i="6"/>
  <c r="U5" i="6" s="1"/>
  <c r="AH5" i="11"/>
  <c r="O6" i="7"/>
  <c r="M16" i="7" s="1"/>
  <c r="M17" i="7" s="1"/>
  <c r="AH10" i="5"/>
  <c r="AH9" i="6"/>
  <c r="AH28" i="6"/>
  <c r="AH21" i="6"/>
  <c r="AH18" i="6"/>
  <c r="AH5" i="5"/>
  <c r="AH32" i="11"/>
  <c r="AH24" i="11"/>
  <c r="AH2" i="11"/>
  <c r="AH31" i="11"/>
  <c r="AH26" i="11"/>
  <c r="AH6" i="11"/>
  <c r="AH7" i="11"/>
  <c r="M28" i="11"/>
  <c r="M29" i="11" s="1"/>
  <c r="M18" i="11" s="1"/>
  <c r="AH14" i="11"/>
  <c r="AH28" i="11"/>
  <c r="AH12" i="11"/>
  <c r="AH13" i="11"/>
  <c r="AH9" i="11"/>
  <c r="AH20" i="11"/>
  <c r="AH27" i="11"/>
  <c r="AH22" i="11"/>
  <c r="AH10" i="11"/>
  <c r="AH25" i="11"/>
  <c r="AH23" i="11"/>
  <c r="AH21" i="11"/>
  <c r="AH17" i="11"/>
  <c r="AH8" i="11"/>
  <c r="AH18" i="11"/>
  <c r="AH4" i="11"/>
  <c r="AH29" i="11"/>
  <c r="AH16" i="11"/>
  <c r="AH15" i="11"/>
  <c r="AH19" i="11"/>
  <c r="AH11" i="11"/>
  <c r="AH27" i="6"/>
  <c r="AH7" i="6"/>
  <c r="AH12" i="6"/>
  <c r="AH10" i="6"/>
  <c r="AH8" i="6"/>
  <c r="AH22" i="6"/>
  <c r="AD9" i="9"/>
  <c r="AE9" i="9" s="1"/>
  <c r="AH17" i="6"/>
  <c r="AH2" i="6"/>
  <c r="O6" i="11"/>
  <c r="M16" i="11" s="1"/>
  <c r="M17" i="11" s="1"/>
  <c r="AH25" i="6"/>
  <c r="AH15" i="6"/>
  <c r="AH26" i="6"/>
  <c r="AH25" i="7"/>
  <c r="AH3" i="6"/>
  <c r="AH8" i="5"/>
  <c r="AH8" i="7"/>
  <c r="AH30" i="6"/>
  <c r="AH11" i="6"/>
  <c r="AH12" i="7"/>
  <c r="AH26" i="7"/>
  <c r="M25" i="6"/>
  <c r="M28" i="6" s="1"/>
  <c r="M29" i="6" s="1"/>
  <c r="M18" i="6" s="1"/>
  <c r="AH32" i="7"/>
  <c r="AH10" i="7"/>
  <c r="AH7" i="7"/>
  <c r="AH24" i="7"/>
  <c r="AH6" i="7"/>
  <c r="AN2" i="11"/>
  <c r="AO2" i="11" s="1"/>
  <c r="AH21" i="7"/>
  <c r="AH23" i="6"/>
  <c r="AH20" i="6"/>
  <c r="AH15" i="7"/>
  <c r="AH23" i="7"/>
  <c r="M25" i="7"/>
  <c r="M28" i="7" s="1"/>
  <c r="M29" i="7" s="1"/>
  <c r="M18" i="7" s="1"/>
  <c r="AH27" i="7"/>
  <c r="AH22" i="5"/>
  <c r="AH19" i="5"/>
  <c r="AH31" i="5"/>
  <c r="AH4" i="7"/>
  <c r="AH13" i="6"/>
  <c r="AH6" i="6"/>
  <c r="AH4" i="6"/>
  <c r="AH5" i="6"/>
  <c r="AH9" i="7"/>
  <c r="AH28" i="7"/>
  <c r="AH18" i="7"/>
  <c r="AH20" i="7"/>
  <c r="AH3" i="7"/>
  <c r="AH11" i="5"/>
  <c r="AH17" i="7"/>
  <c r="AH23" i="5"/>
  <c r="AH5" i="7"/>
  <c r="AH26" i="5"/>
  <c r="AH30" i="7"/>
  <c r="AH13" i="7"/>
  <c r="AH17" i="5"/>
  <c r="AH9" i="5"/>
  <c r="AH11" i="7"/>
  <c r="AH16" i="6"/>
  <c r="AH32" i="6"/>
  <c r="AH31" i="6"/>
  <c r="O6" i="9"/>
  <c r="M16" i="9" s="1"/>
  <c r="M17" i="9" s="1"/>
  <c r="AH19" i="7"/>
  <c r="AH29" i="7"/>
  <c r="AH14" i="7"/>
  <c r="AN3" i="2"/>
  <c r="AO3" i="2" s="1"/>
  <c r="O6" i="5"/>
  <c r="M16" i="5" s="1"/>
  <c r="M17" i="5" s="1"/>
  <c r="M29" i="5"/>
  <c r="M18" i="5" s="1"/>
  <c r="AH19" i="6"/>
  <c r="O6" i="3"/>
  <c r="M16" i="3" s="1"/>
  <c r="M17" i="3" s="1"/>
  <c r="AH6" i="5"/>
  <c r="AH28" i="5"/>
  <c r="AH2" i="5"/>
  <c r="AN2" i="5"/>
  <c r="AO2" i="5" s="1"/>
  <c r="AH15" i="5"/>
  <c r="AH18" i="5"/>
  <c r="AH4" i="5"/>
  <c r="AH29" i="5"/>
  <c r="AH27" i="5"/>
  <c r="AH16" i="5"/>
  <c r="AH32" i="5"/>
  <c r="AH21" i="5"/>
  <c r="AH20" i="5"/>
  <c r="AH30" i="5"/>
  <c r="AH14" i="5"/>
  <c r="AH3" i="5"/>
  <c r="AH13" i="5"/>
  <c r="M29" i="4"/>
  <c r="M18" i="4" s="1"/>
  <c r="M19" i="4" s="1"/>
  <c r="S5" i="12"/>
  <c r="T5" i="12"/>
  <c r="V5" i="12"/>
  <c r="U5" i="12"/>
  <c r="AD10" i="12"/>
  <c r="AE10" i="12" s="1"/>
  <c r="AE9" i="12"/>
  <c r="AN2" i="13"/>
  <c r="AN3" i="13" s="1"/>
  <c r="S19" i="8"/>
  <c r="T19" i="8"/>
  <c r="R19" i="8"/>
  <c r="AN2" i="8"/>
  <c r="AN2" i="4"/>
  <c r="AO2" i="4" s="1"/>
  <c r="T20" i="4" s="1"/>
  <c r="AO1" i="9"/>
  <c r="R19" i="9" s="1"/>
  <c r="AI9" i="11"/>
  <c r="AI22" i="4"/>
  <c r="AI20" i="4"/>
  <c r="AI15" i="4"/>
  <c r="B56" i="1"/>
  <c r="AI7" i="4"/>
  <c r="AI19" i="4"/>
  <c r="AI14" i="11"/>
  <c r="AI27" i="11"/>
  <c r="AI22" i="11"/>
  <c r="AI23" i="11"/>
  <c r="AI2" i="4"/>
  <c r="AI16" i="4"/>
  <c r="AI21" i="4"/>
  <c r="AI5" i="11"/>
  <c r="AI5" i="13"/>
  <c r="AI17" i="4"/>
  <c r="AI2" i="11"/>
  <c r="AI26" i="11"/>
  <c r="AI21" i="11"/>
  <c r="AI10" i="13"/>
  <c r="AI19" i="11"/>
  <c r="AI6" i="13"/>
  <c r="AI12" i="13"/>
  <c r="AI10" i="11"/>
  <c r="AI28" i="13"/>
  <c r="AI14" i="4"/>
  <c r="AI32" i="11"/>
  <c r="AI18" i="11"/>
  <c r="AI20" i="11"/>
  <c r="AI3" i="13"/>
  <c r="A58" i="1"/>
  <c r="M19" i="13"/>
  <c r="M28" i="12"/>
  <c r="O6" i="8"/>
  <c r="M16" i="8" s="1"/>
  <c r="M17" i="8" s="1"/>
  <c r="O6" i="12"/>
  <c r="M16" i="12" s="1"/>
  <c r="M17" i="12" s="1"/>
  <c r="M20" i="13"/>
  <c r="O6" i="10"/>
  <c r="M16" i="10" s="1"/>
  <c r="M17" i="10" s="1"/>
  <c r="AE8" i="4"/>
  <c r="AD9" i="4"/>
  <c r="V4" i="2"/>
  <c r="T4" i="2"/>
  <c r="U4" i="2"/>
  <c r="S4" i="2"/>
  <c r="AE8" i="13"/>
  <c r="AD9" i="13"/>
  <c r="T4" i="7"/>
  <c r="S4" i="7"/>
  <c r="V4" i="7"/>
  <c r="U4" i="7"/>
  <c r="A54" i="1"/>
  <c r="B52" i="1"/>
  <c r="M30" i="11"/>
  <c r="M30" i="10"/>
  <c r="M30" i="13"/>
  <c r="M30" i="12"/>
  <c r="M30" i="9"/>
  <c r="M30" i="8"/>
  <c r="M30" i="7"/>
  <c r="AI17" i="7"/>
  <c r="AI15" i="7"/>
  <c r="AI12" i="7"/>
  <c r="AI7" i="7"/>
  <c r="M30" i="5"/>
  <c r="AI27" i="7"/>
  <c r="M30" i="6"/>
  <c r="AI21" i="7"/>
  <c r="AI14" i="7"/>
  <c r="AI26" i="7"/>
  <c r="AI5" i="7"/>
  <c r="M30" i="4"/>
  <c r="AI2" i="6"/>
  <c r="M30" i="2"/>
  <c r="AI14" i="5"/>
  <c r="M30" i="3"/>
  <c r="AI12" i="5"/>
  <c r="AI2" i="5"/>
  <c r="AI16" i="5"/>
  <c r="AI13" i="6"/>
  <c r="AI32" i="6"/>
  <c r="AI30" i="6"/>
  <c r="AI17" i="6"/>
  <c r="AI10" i="7"/>
  <c r="AI8" i="5"/>
  <c r="AI31" i="5"/>
  <c r="AI27" i="5"/>
  <c r="AI12" i="6"/>
  <c r="AI18" i="6"/>
  <c r="AI31" i="7"/>
  <c r="AI11" i="7"/>
  <c r="AI30" i="5"/>
  <c r="AI5" i="5"/>
  <c r="AI29" i="6"/>
  <c r="AI16" i="6"/>
  <c r="AI28" i="6"/>
  <c r="AI22" i="6"/>
  <c r="AI4" i="7"/>
  <c r="AI9" i="7"/>
  <c r="AI6" i="5"/>
  <c r="AI4" i="5"/>
  <c r="AI26" i="6"/>
  <c r="AI24" i="6"/>
  <c r="AI19" i="7"/>
  <c r="AI6" i="6"/>
  <c r="AI24" i="5"/>
  <c r="AI10" i="5"/>
  <c r="AI10" i="6"/>
  <c r="AI13" i="7"/>
  <c r="AI29" i="5"/>
  <c r="AI18" i="5"/>
  <c r="AI7" i="5"/>
  <c r="AI11" i="6"/>
  <c r="AI3" i="6"/>
  <c r="AI31" i="6"/>
  <c r="AI8" i="6"/>
  <c r="AI23" i="7"/>
  <c r="AI2" i="7"/>
  <c r="AI29" i="7"/>
  <c r="AI23" i="5"/>
  <c r="AI11" i="5"/>
  <c r="AI13" i="5"/>
  <c r="AI21" i="5"/>
  <c r="AI4" i="6"/>
  <c r="AI5" i="6"/>
  <c r="AI8" i="7"/>
  <c r="AI16" i="7"/>
  <c r="AI3" i="5"/>
  <c r="AI20" i="5"/>
  <c r="AI7" i="6"/>
  <c r="AI25" i="5"/>
  <c r="AI26" i="5"/>
  <c r="AI17" i="5"/>
  <c r="AI28" i="5"/>
  <c r="AI20" i="6"/>
  <c r="AI15" i="6"/>
  <c r="AI27" i="6"/>
  <c r="AI28" i="7"/>
  <c r="AI20" i="7"/>
  <c r="AI3" i="7"/>
  <c r="AI22" i="7"/>
  <c r="AI24" i="7"/>
  <c r="AI6" i="7"/>
  <c r="AI22" i="5"/>
  <c r="AI19" i="5"/>
  <c r="AI25" i="6"/>
  <c r="AI14" i="6"/>
  <c r="AI21" i="6"/>
  <c r="AI25" i="7"/>
  <c r="AI23" i="6"/>
  <c r="AI9" i="5"/>
  <c r="AI15" i="5"/>
  <c r="AI9" i="6"/>
  <c r="AI19" i="6"/>
  <c r="AI18" i="7"/>
  <c r="AI30" i="7"/>
  <c r="AE8" i="2"/>
  <c r="AD9" i="2"/>
  <c r="U4" i="13"/>
  <c r="S4" i="13"/>
  <c r="V4" i="13"/>
  <c r="T4" i="13"/>
  <c r="AD9" i="7"/>
  <c r="AE8" i="7"/>
  <c r="B54" i="1"/>
  <c r="B55" i="1"/>
  <c r="AH32" i="12"/>
  <c r="AH29" i="12"/>
  <c r="AH26" i="12"/>
  <c r="AH17" i="12"/>
  <c r="AI11" i="12"/>
  <c r="AI4" i="12"/>
  <c r="M26" i="12"/>
  <c r="AI23" i="12"/>
  <c r="AI22" i="12"/>
  <c r="AI21" i="12"/>
  <c r="AI20" i="12"/>
  <c r="AI12" i="12"/>
  <c r="AH11" i="12"/>
  <c r="AI7" i="12"/>
  <c r="AH4" i="12"/>
  <c r="AI30" i="12"/>
  <c r="AI27" i="12"/>
  <c r="AI24" i="12"/>
  <c r="AH9" i="12"/>
  <c r="AH16" i="12"/>
  <c r="AH10" i="12"/>
  <c r="AI5" i="12"/>
  <c r="AH3" i="12"/>
  <c r="AI6" i="12"/>
  <c r="AI31" i="12"/>
  <c r="AH12" i="12"/>
  <c r="AH6" i="12"/>
  <c r="AH31" i="12"/>
  <c r="AH27" i="12"/>
  <c r="AH22" i="12"/>
  <c r="AH7" i="12"/>
  <c r="AI18" i="12"/>
  <c r="AI13" i="12"/>
  <c r="AI10" i="12"/>
  <c r="AH5" i="12"/>
  <c r="AH18" i="12"/>
  <c r="AI16" i="12"/>
  <c r="AH13" i="12"/>
  <c r="AH30" i="12"/>
  <c r="AI26" i="12"/>
  <c r="AH23" i="12"/>
  <c r="AI14" i="12"/>
  <c r="AI8" i="12"/>
  <c r="AI19" i="12"/>
  <c r="AH14" i="12"/>
  <c r="AH8" i="12"/>
  <c r="AI3" i="12"/>
  <c r="AI25" i="12"/>
  <c r="AH19" i="12"/>
  <c r="AI17" i="12"/>
  <c r="AI15" i="12"/>
  <c r="AI32" i="12"/>
  <c r="AH28" i="12"/>
  <c r="AH24" i="12"/>
  <c r="AH21" i="12"/>
  <c r="AH2" i="12"/>
  <c r="AI9" i="12"/>
  <c r="AI29" i="12"/>
  <c r="AI2" i="12"/>
  <c r="AH15" i="12"/>
  <c r="AI28" i="12"/>
  <c r="AH20" i="12"/>
  <c r="AH25" i="12"/>
  <c r="V7" i="10"/>
  <c r="T7" i="10"/>
  <c r="S7" i="10"/>
  <c r="U7" i="10"/>
  <c r="A51" i="1"/>
  <c r="B58" i="1"/>
  <c r="R19" i="11"/>
  <c r="T19" i="11"/>
  <c r="S19" i="11"/>
  <c r="R19" i="6"/>
  <c r="T19" i="6"/>
  <c r="S19" i="6"/>
  <c r="AE9" i="6"/>
  <c r="AD10" i="6"/>
  <c r="AE10" i="6" s="1"/>
  <c r="U4" i="4"/>
  <c r="V4" i="4"/>
  <c r="T4" i="4"/>
  <c r="S4" i="4"/>
  <c r="AN2" i="6"/>
  <c r="AH31" i="8"/>
  <c r="AH28" i="8"/>
  <c r="AH30" i="8"/>
  <c r="AH16" i="8"/>
  <c r="AI29" i="8"/>
  <c r="AH26" i="8"/>
  <c r="AI17" i="8"/>
  <c r="AH32" i="8"/>
  <c r="M26" i="8"/>
  <c r="AI23" i="8"/>
  <c r="AI22" i="8"/>
  <c r="AI21" i="8"/>
  <c r="AI20" i="8"/>
  <c r="AI12" i="8"/>
  <c r="AH11" i="8"/>
  <c r="AI7" i="8"/>
  <c r="AH4" i="8"/>
  <c r="AI27" i="8"/>
  <c r="AI24" i="8"/>
  <c r="AH9" i="8"/>
  <c r="AH22" i="8"/>
  <c r="AI14" i="8"/>
  <c r="AI19" i="8"/>
  <c r="AH14" i="8"/>
  <c r="AI31" i="8"/>
  <c r="AH27" i="8"/>
  <c r="AH19" i="8"/>
  <c r="AI8" i="8"/>
  <c r="AH8" i="8"/>
  <c r="AH5" i="8"/>
  <c r="AH2" i="8"/>
  <c r="AH23" i="8"/>
  <c r="AH20" i="8"/>
  <c r="AH17" i="8"/>
  <c r="AI15" i="8"/>
  <c r="AI30" i="8"/>
  <c r="AI26" i="8"/>
  <c r="AH15" i="8"/>
  <c r="AH12" i="8"/>
  <c r="AI9" i="8"/>
  <c r="AI25" i="8"/>
  <c r="AI18" i="8"/>
  <c r="AH13" i="8"/>
  <c r="AI10" i="8"/>
  <c r="AI6" i="8"/>
  <c r="AI32" i="8"/>
  <c r="AI28" i="8"/>
  <c r="AH24" i="8"/>
  <c r="AH18" i="8"/>
  <c r="AI16" i="8"/>
  <c r="AH25" i="8"/>
  <c r="AH21" i="8"/>
  <c r="AH10" i="8"/>
  <c r="AI3" i="8"/>
  <c r="AI2" i="8"/>
  <c r="AH3" i="8"/>
  <c r="AH7" i="8"/>
  <c r="AI4" i="8"/>
  <c r="AH29" i="8"/>
  <c r="AI13" i="8"/>
  <c r="AI11" i="8"/>
  <c r="AH6" i="8"/>
  <c r="AI5" i="8"/>
  <c r="B50" i="1"/>
  <c r="O6" i="2"/>
  <c r="M16" i="2" s="1"/>
  <c r="M17" i="2" s="1"/>
  <c r="AI6" i="4"/>
  <c r="AI23" i="4"/>
  <c r="AI28" i="4"/>
  <c r="AI26" i="4"/>
  <c r="AI18" i="4"/>
  <c r="AI17" i="11"/>
  <c r="AI30" i="11"/>
  <c r="AI25" i="11"/>
  <c r="B51" i="1"/>
  <c r="AI14" i="13"/>
  <c r="AI25" i="13"/>
  <c r="AI26" i="13"/>
  <c r="M28" i="8"/>
  <c r="AI12" i="4"/>
  <c r="AI31" i="4"/>
  <c r="AI29" i="4"/>
  <c r="AI4" i="11"/>
  <c r="AI28" i="11"/>
  <c r="AO1" i="10"/>
  <c r="AN2" i="10"/>
  <c r="A59" i="1"/>
  <c r="AI20" i="13"/>
  <c r="AI7" i="13"/>
  <c r="AI29" i="13"/>
  <c r="S5" i="9"/>
  <c r="U5" i="9"/>
  <c r="V5" i="9"/>
  <c r="T5" i="9"/>
  <c r="AO2" i="9"/>
  <c r="AN3" i="9"/>
  <c r="B59" i="1"/>
  <c r="AH31" i="2"/>
  <c r="AH28" i="2"/>
  <c r="AH25" i="2"/>
  <c r="AI17" i="2"/>
  <c r="AI7" i="2"/>
  <c r="AI6" i="2"/>
  <c r="AH2" i="2"/>
  <c r="AI15" i="2"/>
  <c r="AI8" i="2"/>
  <c r="AI3" i="2"/>
  <c r="AI18" i="2"/>
  <c r="AI5" i="2"/>
  <c r="AI23" i="2"/>
  <c r="AI21" i="2"/>
  <c r="AI14" i="2"/>
  <c r="AI12" i="2"/>
  <c r="AI10" i="2"/>
  <c r="AH4" i="2"/>
  <c r="AI27" i="2"/>
  <c r="AH17" i="2"/>
  <c r="AH10" i="2"/>
  <c r="AH8" i="2"/>
  <c r="AH27" i="2"/>
  <c r="AI19" i="2"/>
  <c r="AI30" i="2"/>
  <c r="AH21" i="2"/>
  <c r="AH19" i="2"/>
  <c r="AH12" i="2"/>
  <c r="AH30" i="2"/>
  <c r="AI4" i="2"/>
  <c r="AH3" i="2"/>
  <c r="AH32" i="2"/>
  <c r="AI25" i="2"/>
  <c r="AI22" i="2"/>
  <c r="AI13" i="2"/>
  <c r="AI26" i="2"/>
  <c r="AH23" i="2"/>
  <c r="AH14" i="2"/>
  <c r="AH6" i="2"/>
  <c r="AH5" i="2"/>
  <c r="AH26" i="2"/>
  <c r="AI16" i="2"/>
  <c r="AI29" i="2"/>
  <c r="AI20" i="2"/>
  <c r="AH16" i="2"/>
  <c r="AI11" i="2"/>
  <c r="AI9" i="2"/>
  <c r="AI2" i="2"/>
  <c r="AI32" i="2"/>
  <c r="AH29" i="2"/>
  <c r="M26" i="2"/>
  <c r="AH20" i="2"/>
  <c r="AH18" i="2"/>
  <c r="AH11" i="2"/>
  <c r="AH9" i="2"/>
  <c r="AH7" i="2"/>
  <c r="AH22" i="2"/>
  <c r="AH13" i="2"/>
  <c r="AI28" i="2"/>
  <c r="AI24" i="2"/>
  <c r="AI31" i="2"/>
  <c r="AH24" i="2"/>
  <c r="AH15" i="2"/>
  <c r="AI3" i="4"/>
  <c r="AI4" i="4"/>
  <c r="AI32" i="4"/>
  <c r="M26" i="9"/>
  <c r="M29" i="9" s="1"/>
  <c r="AI23" i="9"/>
  <c r="AH22" i="9"/>
  <c r="AH21" i="9"/>
  <c r="AH20" i="9"/>
  <c r="AI19" i="9"/>
  <c r="AI13" i="9"/>
  <c r="AH12" i="9"/>
  <c r="AI8" i="9"/>
  <c r="AH7" i="9"/>
  <c r="AI6" i="9"/>
  <c r="AI32" i="9"/>
  <c r="AH29" i="9"/>
  <c r="AH23" i="9"/>
  <c r="AH17" i="9"/>
  <c r="AH13" i="9"/>
  <c r="AI10" i="9"/>
  <c r="AH4" i="9"/>
  <c r="AH32" i="9"/>
  <c r="AI25" i="9"/>
  <c r="AI28" i="9"/>
  <c r="AH25" i="9"/>
  <c r="AI31" i="9"/>
  <c r="AH28" i="9"/>
  <c r="AI18" i="9"/>
  <c r="AH31" i="9"/>
  <c r="AH19" i="9"/>
  <c r="AH18" i="9"/>
  <c r="AI24" i="9"/>
  <c r="AI20" i="9"/>
  <c r="AI16" i="9"/>
  <c r="AI3" i="9"/>
  <c r="AI27" i="9"/>
  <c r="AH24" i="9"/>
  <c r="AH16" i="9"/>
  <c r="AI11" i="9"/>
  <c r="AH8" i="9"/>
  <c r="AI26" i="9"/>
  <c r="AH9" i="9"/>
  <c r="AI29" i="9"/>
  <c r="AH26" i="9"/>
  <c r="AI17" i="9"/>
  <c r="AI12" i="9"/>
  <c r="AH10" i="9"/>
  <c r="AI4" i="9"/>
  <c r="AH3" i="9"/>
  <c r="AH27" i="9"/>
  <c r="AI22" i="9"/>
  <c r="AI15" i="9"/>
  <c r="AI5" i="9"/>
  <c r="AH15" i="9"/>
  <c r="AH5" i="9"/>
  <c r="AH6" i="9"/>
  <c r="AI2" i="9"/>
  <c r="AI21" i="9"/>
  <c r="AH2" i="9"/>
  <c r="AI9" i="9"/>
  <c r="AI7" i="9"/>
  <c r="AI14" i="9"/>
  <c r="AH14" i="9"/>
  <c r="AH30" i="9"/>
  <c r="AH11" i="9"/>
  <c r="AI30" i="9"/>
  <c r="M28" i="3"/>
  <c r="AO1" i="3"/>
  <c r="AN2" i="3"/>
  <c r="AE8" i="5"/>
  <c r="AD9" i="5"/>
  <c r="AI29" i="11"/>
  <c r="AI6" i="11"/>
  <c r="AI31" i="11"/>
  <c r="B57" i="1"/>
  <c r="AI23" i="13"/>
  <c r="AI18" i="13"/>
  <c r="AI24" i="13"/>
  <c r="AI15" i="13"/>
  <c r="AI32" i="13"/>
  <c r="AI24" i="4"/>
  <c r="AO1" i="7"/>
  <c r="AN2" i="7"/>
  <c r="AH18" i="3"/>
  <c r="AH15" i="3"/>
  <c r="AH14" i="3"/>
  <c r="AH32" i="3"/>
  <c r="AH29" i="3"/>
  <c r="AI31" i="3"/>
  <c r="AH28" i="3"/>
  <c r="AH31" i="3"/>
  <c r="AH11" i="3"/>
  <c r="AI8" i="3"/>
  <c r="AH7" i="3"/>
  <c r="AI6" i="3"/>
  <c r="AI12" i="3"/>
  <c r="AH8" i="3"/>
  <c r="AH6" i="3"/>
  <c r="AI27" i="3"/>
  <c r="AI24" i="3"/>
  <c r="AI17" i="3"/>
  <c r="AI13" i="3"/>
  <c r="AH12" i="3"/>
  <c r="AI30" i="3"/>
  <c r="AH27" i="3"/>
  <c r="AH24" i="3"/>
  <c r="AH30" i="3"/>
  <c r="AI14" i="3"/>
  <c r="AH9" i="3"/>
  <c r="AI15" i="3"/>
  <c r="AI10" i="3"/>
  <c r="AI3" i="3"/>
  <c r="AI29" i="3"/>
  <c r="AH26" i="3"/>
  <c r="AI21" i="3"/>
  <c r="AH20" i="3"/>
  <c r="AH19" i="3"/>
  <c r="AI18" i="3"/>
  <c r="M26" i="3"/>
  <c r="AI23" i="3"/>
  <c r="AH22" i="3"/>
  <c r="AI16" i="3"/>
  <c r="AI28" i="3"/>
  <c r="AI5" i="3"/>
  <c r="AH4" i="3"/>
  <c r="AH5" i="3"/>
  <c r="AI2" i="3"/>
  <c r="AI20" i="3"/>
  <c r="AH2" i="3"/>
  <c r="AI26" i="3"/>
  <c r="AI22" i="3"/>
  <c r="AH13" i="3"/>
  <c r="AI32" i="3"/>
  <c r="AI9" i="3"/>
  <c r="AI25" i="3"/>
  <c r="AI11" i="3"/>
  <c r="AI7" i="3"/>
  <c r="AH25" i="3"/>
  <c r="AH21" i="3"/>
  <c r="AH17" i="3"/>
  <c r="AI19" i="3"/>
  <c r="AH10" i="3"/>
  <c r="AH23" i="3"/>
  <c r="AH16" i="3"/>
  <c r="AI4" i="3"/>
  <c r="AH3" i="3"/>
  <c r="V4" i="5"/>
  <c r="U4" i="5"/>
  <c r="T4" i="5"/>
  <c r="S4" i="5"/>
  <c r="AI15" i="11"/>
  <c r="AI16" i="11"/>
  <c r="A53" i="1"/>
  <c r="A55" i="1"/>
  <c r="AI22" i="13"/>
  <c r="AI8" i="13"/>
  <c r="AI19" i="13"/>
  <c r="AI2" i="13"/>
  <c r="T19" i="4"/>
  <c r="R19" i="4"/>
  <c r="S19" i="4"/>
  <c r="S19" i="5"/>
  <c r="R19" i="5"/>
  <c r="T19" i="5"/>
  <c r="M28" i="2"/>
  <c r="AI25" i="4"/>
  <c r="AI27" i="4"/>
  <c r="AI11" i="11"/>
  <c r="AI8" i="11"/>
  <c r="AI7" i="11"/>
  <c r="B53" i="1"/>
  <c r="A52" i="1"/>
  <c r="AI27" i="13"/>
  <c r="AI13" i="13"/>
  <c r="AI9" i="13"/>
  <c r="AI11" i="4"/>
  <c r="AI30" i="4"/>
  <c r="S19" i="12"/>
  <c r="R19" i="12"/>
  <c r="T19" i="12"/>
  <c r="AD10" i="3"/>
  <c r="AE10" i="3" s="1"/>
  <c r="AE9" i="3"/>
  <c r="AI3" i="11"/>
  <c r="AI24" i="11"/>
  <c r="A50" i="1"/>
  <c r="A56" i="1"/>
  <c r="AI31" i="13"/>
  <c r="AI30" i="13"/>
  <c r="AI4" i="13"/>
  <c r="T19" i="13"/>
  <c r="S19" i="13"/>
  <c r="R19" i="13"/>
  <c r="T5" i="11"/>
  <c r="S5" i="11"/>
  <c r="U5" i="11"/>
  <c r="V5" i="11"/>
  <c r="V6" i="10"/>
  <c r="S6" i="10"/>
  <c r="T6" i="10"/>
  <c r="U6" i="10"/>
  <c r="AE9" i="11"/>
  <c r="AD10" i="11"/>
  <c r="AE10" i="11" s="1"/>
  <c r="AI8" i="4"/>
  <c r="AI5" i="4"/>
  <c r="AI13" i="4"/>
  <c r="AI10" i="4"/>
  <c r="AI9" i="4"/>
  <c r="AN2" i="12"/>
  <c r="AH31" i="10"/>
  <c r="AH28" i="10"/>
  <c r="AH25" i="10"/>
  <c r="AH19" i="10"/>
  <c r="AI18" i="10"/>
  <c r="AI15" i="10"/>
  <c r="AI14" i="10"/>
  <c r="AH13" i="10"/>
  <c r="AH8" i="10"/>
  <c r="AH6" i="10"/>
  <c r="AI32" i="10"/>
  <c r="AI29" i="10"/>
  <c r="AI26" i="10"/>
  <c r="AH23" i="10"/>
  <c r="AI10" i="10"/>
  <c r="AH29" i="10"/>
  <c r="M26" i="10"/>
  <c r="M29" i="10" s="1"/>
  <c r="AH10" i="10"/>
  <c r="AI7" i="10"/>
  <c r="AI25" i="10"/>
  <c r="AI17" i="10"/>
  <c r="AH14" i="10"/>
  <c r="AH7" i="10"/>
  <c r="AI6" i="10"/>
  <c r="AI3" i="10"/>
  <c r="AH32" i="10"/>
  <c r="AH17" i="10"/>
  <c r="AI28" i="10"/>
  <c r="AH15" i="10"/>
  <c r="AI24" i="10"/>
  <c r="AI31" i="10"/>
  <c r="AH24" i="10"/>
  <c r="AI11" i="10"/>
  <c r="AI5" i="10"/>
  <c r="AH30" i="10"/>
  <c r="AI22" i="10"/>
  <c r="AH21" i="10"/>
  <c r="AH16" i="10"/>
  <c r="AH4" i="10"/>
  <c r="AI27" i="10"/>
  <c r="AH27" i="10"/>
  <c r="AH11" i="10"/>
  <c r="AI8" i="10"/>
  <c r="AI4" i="10"/>
  <c r="AH3" i="10"/>
  <c r="AH26" i="10"/>
  <c r="AH22" i="10"/>
  <c r="AI19" i="10"/>
  <c r="AI12" i="10"/>
  <c r="AH12" i="10"/>
  <c r="AH5" i="10"/>
  <c r="AI16" i="10"/>
  <c r="AI2" i="10"/>
  <c r="AH2" i="10"/>
  <c r="AI21" i="10"/>
  <c r="AH18" i="10"/>
  <c r="AI23" i="10"/>
  <c r="AI20" i="10"/>
  <c r="AI13" i="10"/>
  <c r="AH9" i="10"/>
  <c r="AH20" i="10"/>
  <c r="AI9" i="10"/>
  <c r="AI30" i="10"/>
  <c r="S5" i="3"/>
  <c r="V5" i="3"/>
  <c r="U5" i="3"/>
  <c r="T5" i="3"/>
  <c r="AI13" i="11"/>
  <c r="AI12" i="11"/>
  <c r="A57" i="1"/>
  <c r="AI21" i="13"/>
  <c r="AI11" i="13"/>
  <c r="M19" i="6" l="1"/>
  <c r="S6" i="8"/>
  <c r="T6" i="8"/>
  <c r="U6" i="8"/>
  <c r="U8" i="8" s="1"/>
  <c r="V8" i="8" s="1"/>
  <c r="V5" i="6"/>
  <c r="S5" i="6"/>
  <c r="T5" i="6"/>
  <c r="AN3" i="11"/>
  <c r="AN4" i="11" s="1"/>
  <c r="AO2" i="13"/>
  <c r="S20" i="13" s="1"/>
  <c r="M20" i="7"/>
  <c r="M20" i="11"/>
  <c r="AD10" i="9"/>
  <c r="AE10" i="9" s="1"/>
  <c r="T7" i="9" s="1"/>
  <c r="AN4" i="2"/>
  <c r="AO4" i="2" s="1"/>
  <c r="M19" i="5"/>
  <c r="M32" i="5"/>
  <c r="M20" i="5"/>
  <c r="M29" i="8"/>
  <c r="M18" i="8" s="1"/>
  <c r="M19" i="8" s="1"/>
  <c r="AN3" i="5"/>
  <c r="AN4" i="5" s="1"/>
  <c r="M20" i="4"/>
  <c r="M32" i="4"/>
  <c r="AN3" i="4"/>
  <c r="AO3" i="4" s="1"/>
  <c r="S20" i="4"/>
  <c r="R20" i="4"/>
  <c r="S19" i="9"/>
  <c r="T19" i="9"/>
  <c r="U6" i="12"/>
  <c r="V6" i="12"/>
  <c r="T6" i="12"/>
  <c r="S6" i="12"/>
  <c r="V7" i="12"/>
  <c r="U7" i="12"/>
  <c r="T7" i="12"/>
  <c r="S7" i="12"/>
  <c r="U19" i="8"/>
  <c r="V19" i="8" s="1"/>
  <c r="AO2" i="8"/>
  <c r="AN3" i="8"/>
  <c r="U19" i="6"/>
  <c r="V19" i="6" s="1"/>
  <c r="U8" i="10"/>
  <c r="V8" i="10" s="1"/>
  <c r="M29" i="12"/>
  <c r="M18" i="12" s="1"/>
  <c r="M19" i="12" s="1"/>
  <c r="M20" i="6"/>
  <c r="M32" i="7"/>
  <c r="M18" i="9"/>
  <c r="M32" i="9"/>
  <c r="M18" i="10"/>
  <c r="M32" i="10"/>
  <c r="S5" i="7"/>
  <c r="V5" i="7"/>
  <c r="U5" i="7"/>
  <c r="T5" i="7"/>
  <c r="AE9" i="7"/>
  <c r="AD10" i="7"/>
  <c r="AE10" i="7" s="1"/>
  <c r="U19" i="5"/>
  <c r="V19" i="5" s="1"/>
  <c r="AE9" i="5"/>
  <c r="AD10" i="5"/>
  <c r="AE10" i="5" s="1"/>
  <c r="AD10" i="13"/>
  <c r="AE10" i="13" s="1"/>
  <c r="AE9" i="13"/>
  <c r="AO2" i="3"/>
  <c r="AN3" i="3"/>
  <c r="S7" i="6"/>
  <c r="V7" i="6"/>
  <c r="T7" i="6"/>
  <c r="U7" i="6"/>
  <c r="S7" i="11"/>
  <c r="U7" i="11"/>
  <c r="T7" i="11"/>
  <c r="V7" i="11"/>
  <c r="U19" i="13"/>
  <c r="V19" i="13" s="1"/>
  <c r="V6" i="3"/>
  <c r="U6" i="3"/>
  <c r="T6" i="3"/>
  <c r="S6" i="3"/>
  <c r="AO3" i="13"/>
  <c r="AN4" i="13"/>
  <c r="U19" i="4"/>
  <c r="V19" i="4" s="1"/>
  <c r="S19" i="3"/>
  <c r="R19" i="3"/>
  <c r="T19" i="3"/>
  <c r="T6" i="6"/>
  <c r="U6" i="6"/>
  <c r="V6" i="6"/>
  <c r="S6" i="6"/>
  <c r="M19" i="11"/>
  <c r="S20" i="5"/>
  <c r="R20" i="5"/>
  <c r="T20" i="5"/>
  <c r="V7" i="3"/>
  <c r="U7" i="3"/>
  <c r="T7" i="3"/>
  <c r="S7" i="3"/>
  <c r="M29" i="3"/>
  <c r="AE9" i="2"/>
  <c r="AD10" i="2"/>
  <c r="AE10" i="2" s="1"/>
  <c r="S5" i="5"/>
  <c r="V5" i="5"/>
  <c r="U5" i="5"/>
  <c r="T5" i="5"/>
  <c r="V5" i="13"/>
  <c r="U5" i="13"/>
  <c r="T5" i="13"/>
  <c r="S5" i="13"/>
  <c r="M32" i="6"/>
  <c r="U5" i="2"/>
  <c r="S5" i="2"/>
  <c r="V5" i="2"/>
  <c r="T5" i="2"/>
  <c r="AD10" i="4"/>
  <c r="AE10" i="4" s="1"/>
  <c r="AE9" i="4"/>
  <c r="T6" i="11"/>
  <c r="S6" i="11"/>
  <c r="U6" i="11"/>
  <c r="V6" i="11"/>
  <c r="AO2" i="10"/>
  <c r="AN3" i="10"/>
  <c r="AN3" i="6"/>
  <c r="AO2" i="6"/>
  <c r="V5" i="4"/>
  <c r="U5" i="4"/>
  <c r="T5" i="4"/>
  <c r="S5" i="4"/>
  <c r="U19" i="12"/>
  <c r="V19" i="12" s="1"/>
  <c r="AO2" i="7"/>
  <c r="AN3" i="7"/>
  <c r="AO3" i="9"/>
  <c r="AN4" i="9"/>
  <c r="T19" i="10"/>
  <c r="S19" i="10"/>
  <c r="R19" i="10"/>
  <c r="M19" i="7"/>
  <c r="T20" i="11"/>
  <c r="S20" i="11"/>
  <c r="R20" i="11"/>
  <c r="AN3" i="12"/>
  <c r="AO2" i="12"/>
  <c r="M29" i="2"/>
  <c r="R19" i="7"/>
  <c r="T19" i="7"/>
  <c r="S19" i="7"/>
  <c r="R20" i="9"/>
  <c r="S20" i="9"/>
  <c r="T20" i="9"/>
  <c r="T6" i="9"/>
  <c r="V6" i="9"/>
  <c r="U6" i="9"/>
  <c r="S6" i="9"/>
  <c r="U19" i="11"/>
  <c r="V19" i="11" s="1"/>
  <c r="R20" i="13" l="1"/>
  <c r="AO3" i="11"/>
  <c r="T21" i="11" s="1"/>
  <c r="T20" i="13"/>
  <c r="AN5" i="2"/>
  <c r="AO5" i="2" s="1"/>
  <c r="S7" i="9"/>
  <c r="U7" i="9"/>
  <c r="U8" i="9" s="1"/>
  <c r="V8" i="9" s="1"/>
  <c r="V7" i="9"/>
  <c r="AO3" i="5"/>
  <c r="T21" i="5" s="1"/>
  <c r="U19" i="9"/>
  <c r="V19" i="9" s="1"/>
  <c r="M32" i="8"/>
  <c r="U20" i="4"/>
  <c r="V20" i="4" s="1"/>
  <c r="M20" i="8"/>
  <c r="AN4" i="4"/>
  <c r="AO4" i="4" s="1"/>
  <c r="U8" i="3"/>
  <c r="V8" i="3" s="1"/>
  <c r="U8" i="6"/>
  <c r="V8" i="6" s="1"/>
  <c r="U8" i="11"/>
  <c r="V8" i="11" s="1"/>
  <c r="U8" i="12"/>
  <c r="V8" i="12" s="1"/>
  <c r="T20" i="8"/>
  <c r="S20" i="8"/>
  <c r="R20" i="8"/>
  <c r="AN4" i="8"/>
  <c r="AO3" i="8"/>
  <c r="U20" i="5"/>
  <c r="V20" i="5" s="1"/>
  <c r="U19" i="3"/>
  <c r="V19" i="3" s="1"/>
  <c r="M20" i="12"/>
  <c r="U20" i="11"/>
  <c r="V20" i="11" s="1"/>
  <c r="T20" i="10"/>
  <c r="S20" i="10"/>
  <c r="R20" i="10"/>
  <c r="AN5" i="13"/>
  <c r="AO5" i="13" s="1"/>
  <c r="AO4" i="13"/>
  <c r="AO4" i="9"/>
  <c r="AN5" i="9"/>
  <c r="AO5" i="9" s="1"/>
  <c r="R21" i="9"/>
  <c r="T21" i="9"/>
  <c r="S21" i="9"/>
  <c r="AN4" i="7"/>
  <c r="AO3" i="7"/>
  <c r="T21" i="4"/>
  <c r="S21" i="4"/>
  <c r="R21" i="4"/>
  <c r="M18" i="3"/>
  <c r="M32" i="3"/>
  <c r="S21" i="13"/>
  <c r="R21" i="13"/>
  <c r="T21" i="13"/>
  <c r="V6" i="2"/>
  <c r="U6" i="2"/>
  <c r="T6" i="2"/>
  <c r="S6" i="2"/>
  <c r="U20" i="9"/>
  <c r="V20" i="9" s="1"/>
  <c r="R20" i="7"/>
  <c r="T20" i="7"/>
  <c r="S20" i="7"/>
  <c r="S7" i="7"/>
  <c r="U7" i="7"/>
  <c r="V7" i="7"/>
  <c r="T7" i="7"/>
  <c r="AO3" i="3"/>
  <c r="AN4" i="3"/>
  <c r="S6" i="13"/>
  <c r="V6" i="13"/>
  <c r="U6" i="13"/>
  <c r="T6" i="13"/>
  <c r="S6" i="7"/>
  <c r="U6" i="7"/>
  <c r="V6" i="7"/>
  <c r="T6" i="7"/>
  <c r="U19" i="7"/>
  <c r="V19" i="7" s="1"/>
  <c r="M18" i="2"/>
  <c r="M32" i="2"/>
  <c r="S6" i="4"/>
  <c r="V6" i="4"/>
  <c r="U6" i="4"/>
  <c r="T6" i="4"/>
  <c r="U7" i="13"/>
  <c r="V7" i="13"/>
  <c r="T7" i="13"/>
  <c r="S7" i="13"/>
  <c r="M19" i="10"/>
  <c r="M20" i="10"/>
  <c r="V7" i="4"/>
  <c r="U7" i="4"/>
  <c r="T7" i="4"/>
  <c r="S7" i="4"/>
  <c r="AN5" i="11"/>
  <c r="AO5" i="11" s="1"/>
  <c r="AO4" i="11"/>
  <c r="R20" i="3"/>
  <c r="T20" i="3"/>
  <c r="S20" i="3"/>
  <c r="T20" i="12"/>
  <c r="R20" i="12"/>
  <c r="S20" i="12"/>
  <c r="AO3" i="12"/>
  <c r="AN4" i="12"/>
  <c r="U19" i="10"/>
  <c r="V19" i="10" s="1"/>
  <c r="R20" i="6"/>
  <c r="T20" i="6"/>
  <c r="S20" i="6"/>
  <c r="M20" i="9"/>
  <c r="M19" i="9"/>
  <c r="S7" i="5"/>
  <c r="V7" i="5"/>
  <c r="U7" i="5"/>
  <c r="T7" i="5"/>
  <c r="AO3" i="6"/>
  <c r="AN4" i="6"/>
  <c r="AO3" i="10"/>
  <c r="AN4" i="10"/>
  <c r="T6" i="5"/>
  <c r="V6" i="5"/>
  <c r="U6" i="5"/>
  <c r="S6" i="5"/>
  <c r="V7" i="2"/>
  <c r="T7" i="2"/>
  <c r="S7" i="2"/>
  <c r="U7" i="2"/>
  <c r="AO4" i="5"/>
  <c r="AN5" i="5"/>
  <c r="AO5" i="5" s="1"/>
  <c r="U20" i="13" l="1"/>
  <c r="V20" i="13" s="1"/>
  <c r="R21" i="11"/>
  <c r="S21" i="11"/>
  <c r="S21" i="5"/>
  <c r="R21" i="5"/>
  <c r="U8" i="4"/>
  <c r="V8" i="4" s="1"/>
  <c r="AN5" i="4"/>
  <c r="AO5" i="4" s="1"/>
  <c r="S23" i="4" s="1"/>
  <c r="U8" i="5"/>
  <c r="V8" i="5" s="1"/>
  <c r="U8" i="7"/>
  <c r="V8" i="7" s="1"/>
  <c r="U8" i="13"/>
  <c r="V8" i="13" s="1"/>
  <c r="U20" i="8"/>
  <c r="V20" i="8" s="1"/>
  <c r="U21" i="13"/>
  <c r="V21" i="13" s="1"/>
  <c r="R21" i="8"/>
  <c r="T21" i="8"/>
  <c r="S21" i="8"/>
  <c r="AN5" i="8"/>
  <c r="AO5" i="8" s="1"/>
  <c r="AO4" i="8"/>
  <c r="U20" i="12"/>
  <c r="V20" i="12" s="1"/>
  <c r="U21" i="4"/>
  <c r="V21" i="4" s="1"/>
  <c r="U20" i="10"/>
  <c r="V20" i="10" s="1"/>
  <c r="T23" i="9"/>
  <c r="S23" i="9"/>
  <c r="R23" i="9"/>
  <c r="T22" i="11"/>
  <c r="S22" i="11"/>
  <c r="R22" i="11"/>
  <c r="T22" i="9"/>
  <c r="S22" i="9"/>
  <c r="R22" i="9"/>
  <c r="U20" i="6"/>
  <c r="V20" i="6" s="1"/>
  <c r="T23" i="11"/>
  <c r="S23" i="11"/>
  <c r="R23" i="11"/>
  <c r="U20" i="7"/>
  <c r="V20" i="7" s="1"/>
  <c r="AN5" i="12"/>
  <c r="AO5" i="12" s="1"/>
  <c r="AO4" i="12"/>
  <c r="M19" i="3"/>
  <c r="M20" i="3"/>
  <c r="T21" i="12"/>
  <c r="R21" i="12"/>
  <c r="S21" i="12"/>
  <c r="S22" i="13"/>
  <c r="T22" i="13"/>
  <c r="R22" i="13"/>
  <c r="AO4" i="6"/>
  <c r="AN5" i="6"/>
  <c r="AO5" i="6" s="1"/>
  <c r="AO4" i="3"/>
  <c r="AN5" i="3"/>
  <c r="AO5" i="3" s="1"/>
  <c r="U8" i="2"/>
  <c r="V8" i="2" s="1"/>
  <c r="S23" i="13"/>
  <c r="T23" i="13"/>
  <c r="R23" i="13"/>
  <c r="S21" i="3"/>
  <c r="R21" i="3"/>
  <c r="T21" i="3"/>
  <c r="S21" i="7"/>
  <c r="R21" i="7"/>
  <c r="T21" i="7"/>
  <c r="R21" i="6"/>
  <c r="T21" i="6"/>
  <c r="S21" i="6"/>
  <c r="AO4" i="10"/>
  <c r="AN5" i="10"/>
  <c r="AO5" i="10" s="1"/>
  <c r="M20" i="2"/>
  <c r="M19" i="2"/>
  <c r="AO4" i="7"/>
  <c r="AN5" i="7"/>
  <c r="AO5" i="7" s="1"/>
  <c r="T22" i="4"/>
  <c r="S22" i="4"/>
  <c r="R22" i="4"/>
  <c r="T21" i="10"/>
  <c r="S21" i="10"/>
  <c r="R21" i="10"/>
  <c r="T23" i="5"/>
  <c r="R23" i="5"/>
  <c r="S23" i="5"/>
  <c r="U21" i="11"/>
  <c r="V21" i="11" s="1"/>
  <c r="R22" i="5"/>
  <c r="T22" i="5"/>
  <c r="S22" i="5"/>
  <c r="U20" i="3"/>
  <c r="V20" i="3" s="1"/>
  <c r="U21" i="9"/>
  <c r="V21" i="9" s="1"/>
  <c r="R23" i="4" l="1"/>
  <c r="T23" i="4"/>
  <c r="U21" i="5"/>
  <c r="V21" i="5" s="1"/>
  <c r="R22" i="8"/>
  <c r="S22" i="8"/>
  <c r="T22" i="8"/>
  <c r="T23" i="8"/>
  <c r="S23" i="8"/>
  <c r="R23" i="8"/>
  <c r="U23" i="9"/>
  <c r="V23" i="9" s="1"/>
  <c r="U21" i="8"/>
  <c r="V21" i="8" s="1"/>
  <c r="U23" i="4"/>
  <c r="V23" i="4" s="1"/>
  <c r="U23" i="13"/>
  <c r="V23" i="13" s="1"/>
  <c r="U22" i="5"/>
  <c r="V22" i="5" s="1"/>
  <c r="U21" i="10"/>
  <c r="V21" i="10" s="1"/>
  <c r="U22" i="11"/>
  <c r="V22" i="11" s="1"/>
  <c r="U22" i="9"/>
  <c r="V22" i="9" s="1"/>
  <c r="U22" i="13"/>
  <c r="V22" i="13" s="1"/>
  <c r="U23" i="5"/>
  <c r="V23" i="5" s="1"/>
  <c r="T23" i="10"/>
  <c r="S23" i="10"/>
  <c r="R23" i="10"/>
  <c r="U21" i="3"/>
  <c r="V21" i="3" s="1"/>
  <c r="U21" i="12"/>
  <c r="V21" i="12" s="1"/>
  <c r="U21" i="6"/>
  <c r="V21" i="6" s="1"/>
  <c r="U22" i="4"/>
  <c r="V22" i="4" s="1"/>
  <c r="T23" i="3"/>
  <c r="S23" i="3"/>
  <c r="R23" i="3"/>
  <c r="T22" i="12"/>
  <c r="R22" i="12"/>
  <c r="S22" i="12"/>
  <c r="T22" i="3"/>
  <c r="S22" i="3"/>
  <c r="R22" i="3"/>
  <c r="T23" i="12"/>
  <c r="R23" i="12"/>
  <c r="S23" i="12"/>
  <c r="T22" i="10"/>
  <c r="S22" i="10"/>
  <c r="R22" i="10"/>
  <c r="T23" i="7"/>
  <c r="S23" i="7"/>
  <c r="R23" i="7"/>
  <c r="R23" i="6"/>
  <c r="S23" i="6"/>
  <c r="T23" i="6"/>
  <c r="T22" i="7"/>
  <c r="S22" i="7"/>
  <c r="R22" i="7"/>
  <c r="U21" i="7"/>
  <c r="V21" i="7" s="1"/>
  <c r="R22" i="6"/>
  <c r="T22" i="6"/>
  <c r="S22" i="6"/>
  <c r="U23" i="11"/>
  <c r="V23" i="11" s="1"/>
  <c r="U23" i="7" l="1"/>
  <c r="V23" i="7" s="1"/>
  <c r="U23" i="8"/>
  <c r="V23" i="8" s="1"/>
  <c r="U22" i="3"/>
  <c r="V22" i="3" s="1"/>
  <c r="U22" i="8"/>
  <c r="V22" i="8" s="1"/>
  <c r="U22" i="6"/>
  <c r="V22" i="6" s="1"/>
  <c r="U22" i="7"/>
  <c r="V22" i="7" s="1"/>
  <c r="U23" i="10"/>
  <c r="V23" i="10" s="1"/>
  <c r="U23" i="6"/>
  <c r="V23" i="6" s="1"/>
  <c r="U23" i="12"/>
  <c r="V23" i="12" s="1"/>
  <c r="U22" i="12"/>
  <c r="V22" i="12" s="1"/>
  <c r="U22" i="10"/>
  <c r="V22" i="10" s="1"/>
  <c r="U23" i="3"/>
  <c r="V23" i="3" s="1"/>
</calcChain>
</file>

<file path=xl/sharedStrings.xml><?xml version="1.0" encoding="utf-8"?>
<sst xmlns="http://schemas.openxmlformats.org/spreadsheetml/2006/main" count="1246" uniqueCount="167">
  <si>
    <t>REKAP TAHUNAN 2026</t>
  </si>
  <si>
    <t>Semua angka di sheet ini otomatis dari sheet bulanan. Jangan diketik manual.</t>
  </si>
  <si>
    <t>Bulan</t>
  </si>
  <si>
    <t>Pemasukan</t>
  </si>
  <si>
    <t>Pengeluaran</t>
  </si>
  <si>
    <t>Selisih</t>
  </si>
  <si>
    <t>Saving Rate</t>
  </si>
  <si>
    <t>Jml Trx</t>
  </si>
  <si>
    <t>Kumulatif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</si>
  <si>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</si>
  <si>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</si>
  <si>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</si>
  <si>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</si>
  <si>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</si>
  <si>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</si>
  <si>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</si>
  <si>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</si>
  <si>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</si>
  <si>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Oktober</t>
  </si>
  <si>
    <t>November</t>
  </si>
  <si>
    <t>Desember</t>
  </si>
  <si>
    <t>TOTAL</t>
  </si>
  <si>
    <t>Bulan terisi</t>
  </si>
  <si>
    <t>Rata-rata pengeluaran / bulan terisi</t>
  </si>
  <si>
    <t>PENGELUARAN PER KATEGORI</t>
  </si>
  <si>
    <t>Kategori</t>
  </si>
  <si>
    <t>Jan</t>
  </si>
  <si>
    <t>Feb</t>
  </si>
  <si>
    <t>Mar</t>
  </si>
  <si>
    <t>Apr</t>
  </si>
  <si>
    <t>Jun</t>
  </si>
  <si>
    <t>Jul</t>
  </si>
  <si>
    <t>Agu</t>
  </si>
  <si>
    <t>Sep</t>
  </si>
  <si>
    <t>Okt</t>
  </si>
  <si>
    <t>Nov</t>
  </si>
  <si>
    <t>Des</t>
  </si>
  <si>
    <t>Total</t>
  </si>
  <si>
    <t>Rata2/bln</t>
  </si>
  <si>
    <t>Budget/bln</t>
  </si>
  <si>
    <t>Selisih vs Budget</t>
  </si>
  <si>
    <t>TOP 10 KATEGORI (otomatis)</t>
  </si>
  <si>
    <t>PER METODE PEMBAYARAN</t>
  </si>
  <si>
    <t>Metode</t>
  </si>
  <si>
    <t>% dari total</t>
  </si>
  <si>
    <t>Saldo Aktual</t>
  </si>
  <si>
    <t>Opening Balance</t>
  </si>
  <si>
    <t>A. PROYEKSI KAS BULAN INI</t>
  </si>
  <si>
    <t>C. 5 BELANJA TERBESAR BULAN INI</t>
  </si>
  <si>
    <t>Tanggal</t>
  </si>
  <si>
    <t>Belanja kumulatif</t>
  </si>
  <si>
    <t>Laju rata-rata bulanan</t>
  </si>
  <si>
    <t>Total Pemasukkan</t>
  </si>
  <si>
    <t>Sumber</t>
  </si>
  <si>
    <t>Cair tgl</t>
  </si>
  <si>
    <t>Estimasi</t>
  </si>
  <si>
    <t>Aktual</t>
  </si>
  <si>
    <t>Belum cair</t>
  </si>
  <si>
    <t>Status</t>
  </si>
  <si>
    <t>No</t>
  </si>
  <si>
    <t>Jumlah</t>
  </si>
  <si>
    <t>Keterangan</t>
  </si>
  <si>
    <t>Total Pengeluaran</t>
  </si>
  <si>
    <t>Jml Transaksi</t>
  </si>
  <si>
    <t>Closing (Estimasi)</t>
  </si>
  <si>
    <t>Tipe</t>
  </si>
  <si>
    <t>Pembayaran</t>
  </si>
  <si>
    <t>Jumlah (Rp)</t>
  </si>
  <si>
    <t>Asumsi uang makan</t>
  </si>
  <si>
    <t>Total 5 terbesar</t>
  </si>
  <si>
    <t>Nilai</t>
  </si>
  <si>
    <t>F. DIBANDING BULAN LALU</t>
  </si>
  <si>
    <t>Uang makan per hari kerja</t>
  </si>
  <si>
    <t>Januari adalah bulan pertama, tidak ada pembanding.</t>
  </si>
  <si>
    <t>Total Pengeluaran / Kategori</t>
  </si>
  <si>
    <t>Ringkasan proyeksi</t>
  </si>
  <si>
    <t>Total Jumlah (Rp)</t>
  </si>
  <si>
    <t>Pemasukan tercatat</t>
  </si>
  <si>
    <t>Proyeksi pemasukan</t>
  </si>
  <si>
    <t>Proyeksi pengeluaran</t>
  </si>
  <si>
    <t>Proyeksi selisih</t>
  </si>
  <si>
    <t>Proyeksi Closing Balance</t>
  </si>
  <si>
    <t>Sel kuning = isi sendiri. Proyeksi pengeluaran = ekstrapolasi linear dari panel B.</t>
  </si>
  <si>
    <t>B. LAJU BELANJA</t>
  </si>
  <si>
    <t>Indikator</t>
  </si>
  <si>
    <t>Hari berjalan</t>
  </si>
  <si>
    <t>E. BELANJA KUMULATIF HARIAN</t>
  </si>
  <si>
    <t>Hari dalam bulan</t>
  </si>
  <si>
    <t>Belanja s/d hari ini</t>
  </si>
  <si>
    <t>Rata-rata per hari</t>
  </si>
  <si>
    <t>Proyeksi akhir bulan</t>
  </si>
  <si>
    <t>Rata-rata bulanan (histori)</t>
  </si>
  <si>
    <t>Grand Total</t>
  </si>
  <si>
    <t>Total budget (Master)</t>
  </si>
  <si>
    <t>D. PENGELUARAN PER METODE</t>
  </si>
  <si>
    <t>%</t>
  </si>
  <si>
    <t>Jumlah transaksi</t>
  </si>
  <si>
    <t>Rata-rata per transaksi</t>
  </si>
  <si>
    <t>5 kategori terbesar bulan ini</t>
  </si>
  <si>
    <t>May</t>
  </si>
  <si>
    <t>June</t>
  </si>
  <si>
    <t>July</t>
  </si>
  <si>
    <t>Aug</t>
  </si>
  <si>
    <t>MASTER DATA — sumber semua dropdown</t>
  </si>
  <si>
    <t>Tambah kategori baru di kolom A (baris kosong di bawah), isi Jenis dan Budget. Dropdown di sheet bulanan ikut otomatis.</t>
  </si>
  <si>
    <t>Jenis</t>
  </si>
  <si>
    <t>Budget / Bulan</t>
  </si>
  <si>
    <t>Metode Pembayaran</t>
  </si>
  <si>
    <t>PANDUAN SINGKAT</t>
  </si>
  <si>
    <t>1. Sel kuning = diisi manual. Sel lain berisi rumus, jangan diketik ulang.</t>
  </si>
  <si>
    <t>2. Tiap sheet bulan: isi Opening Balance (D1) dan Saldo Aktual (B1) di akhir bulan.</t>
  </si>
  <si>
    <t>3. Selisih (B2) = saldo riil dikurangi estimasi. Kalau membengkak, ada transaksi kelupaan.</t>
  </si>
  <si>
    <t>4. Tombol "Tambah Baris" tetap berfungsi seperti sebelumnya.</t>
  </si>
  <si>
    <t>5. Kolom Tipe / Pembayaran / Kategori sudah pakai dropdown dari sheet ini.</t>
  </si>
  <si>
    <t>6. Pivot tiap bulan kini otomatis ter-refresh saat file dibuka.</t>
  </si>
  <si>
    <t>7. Sheet Rekap terisi otomatis dari 12 sheet bulan, tidak perlu disentuh.</t>
  </si>
  <si>
    <t>8. Kategori baru: ketik di baris kosong kolom A sheet ini. Dropdown ikut sendiri.</t>
  </si>
  <si>
    <t>9. Kolom A dipakai sebagai sumber dropdown, jadi jangan ditulisi catatan apa pun.</t>
  </si>
  <si>
    <t>(All)</t>
  </si>
  <si>
    <t>(blank)</t>
  </si>
  <si>
    <t>Kategori Uji 01</t>
  </si>
  <si>
    <t>Kategori Uji 02</t>
  </si>
  <si>
    <t>Kategori Uji 03</t>
  </si>
  <si>
    <t>Kategori Uji 04</t>
  </si>
  <si>
    <t>Kategori Uji 05</t>
  </si>
  <si>
    <t>Kategori Uji 06</t>
  </si>
  <si>
    <t>Kategori Uji 07</t>
  </si>
  <si>
    <t>Kategori Uji 08</t>
  </si>
  <si>
    <t>Kategori Uji 09</t>
  </si>
  <si>
    <t>Kategori Uji 10</t>
  </si>
  <si>
    <t>Kategori Uji 11</t>
  </si>
  <si>
    <t>Kategori Uji 12</t>
  </si>
  <si>
    <t>Kategori Uji 13</t>
  </si>
  <si>
    <t>Kategori Uji 14</t>
  </si>
  <si>
    <t>Kategori Uji 15</t>
  </si>
  <si>
    <t>Kategori Uji 16</t>
  </si>
  <si>
    <t>Kategori Uji 17</t>
  </si>
  <si>
    <t>Kategori Uji 18</t>
  </si>
  <si>
    <t>Kategori Uji 19</t>
  </si>
  <si>
    <t>Kategori Uji 20</t>
  </si>
  <si>
    <t>Kategori Uji 21</t>
  </si>
  <si>
    <t>Kategori Uji 22</t>
  </si>
  <si>
    <t>Kategori Uji 23</t>
  </si>
  <si>
    <t>Kategori Uji 24</t>
  </si>
  <si>
    <t>Pendapatan Uji 01</t>
  </si>
  <si>
    <t>Pendapatan Uji 02</t>
  </si>
  <si>
    <t>Pendapatan Uji 03</t>
  </si>
  <si>
    <t>Pendapatan Uji 04</t>
  </si>
  <si>
    <t>Pendapatan Uji 05</t>
  </si>
  <si>
    <t>Pendapatan Uji 06</t>
  </si>
  <si>
    <t>Pendapatan Uji 07</t>
  </si>
  <si>
    <t>Tunai Uji</t>
  </si>
  <si>
    <t>Bank Uji</t>
  </si>
  <si>
    <t>Dompet Uji</t>
  </si>
  <si>
    <t>Kartu Uji</t>
  </si>
  <si>
    <t>Transfer Uji</t>
  </si>
  <si>
    <t>Voucher Uji</t>
  </si>
  <si>
    <t>Cicilan Uji</t>
  </si>
  <si>
    <t>Lainnya Uji</t>
  </si>
  <si>
    <t>Belanja uji alfa</t>
  </si>
  <si>
    <t>Pemasukan uji alfa</t>
  </si>
  <si>
    <t>Belanja uji beta</t>
  </si>
  <si>
    <t>Belanja uji gamma</t>
  </si>
  <si>
    <t>Pemasukan uji beta</t>
  </si>
  <si>
    <t>Belanja uji delta</t>
  </si>
  <si>
    <t>Belanja uji epsilon</t>
  </si>
  <si>
    <t>Belanja uji zeta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</si>
</sst>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IDR]\ #,##0"/>
    <numFmt numFmtId="165" formatCode="[$-409]d\-mmm\-yyyy;@"/>
    <numFmt numFmtId="166" formatCode="0.0%"/>
    <numFmt numFmtId="167" formatCode="[$-409]d\-mmm;@"/>
  </numFmts>
  <fonts count="12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FF"/>
      <name val="Calibri"/>
      <family val="2"/>
    </font>
    <font>
      <b/>
      <sz val="14"/>
      <name val="Calibri"/>
      <family val="2"/>
    </font>
    <font>
      <i/>
      <sz val="9"/>
      <color rgb="FF808080"/>
      <name val="Calibri"/>
      <family val="2"/>
    </font>
    <font>
      <sz val="11"/>
      <name val="Calibri"/>
      <family val="2"/>
    </font>
    <font>
      <b/>
      <sz val="11"/>
      <color rgb="FF1F3864"/>
      <name val="Calibri"/>
      <family val="2"/>
    </font>
    <font>
      <b/>
      <sz val="10"/>
      <color rgb="FF1F3864"/>
      <name val="Calibri"/>
      <family val="2"/>
    </font>
    <font>
      <sz val="11"/>
      <color rgb="FF0000FF"/>
      <name val="Calibri"/>
      <family val="2"/>
    </font>
    <font>
      <b/>
      <sz val="11"/>
      <name val="Calibri"/>
      <family val="2"/>
    </font>
    <font>
      <i/>
      <sz val="8"/>
      <color rgb="FF808080"/>
      <name val="Calibri"/>
      <family val="2"/>
    </font>
    <font>
      <b/>
      <sz val="18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F2CC"/>
      </patternFill>
    </fill>
    <fill>
      <patternFill patternType="solid">
        <fgColor rgb="FFD9E1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EDEDED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</borders>
  <cellStyleXfs count="1">
    <xf numFmtId="0" fontId="0" fillId="0" borderId="3"/>
  </cellStyleXfs>
  <cellXfs count="64">
    <xf numFmtId="0" fontId="0" fillId="0" borderId="0" xfId="0" applyBorder="1"/>
    <xf numFmtId="0" fontId="0" fillId="0" borderId="0" xfId="0" applyBorder="1" applyAlignment="1">
      <alignment vertical="center"/>
    </xf>
    <xf numFmtId="164" fontId="0" fillId="0" borderId="0" xfId="0" applyNumberFormat="1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165" fontId="0" fillId="0" borderId="0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vertical="center" wrapText="1"/>
    </xf>
    <xf numFmtId="164" fontId="0" fillId="0" borderId="0" xfId="0" applyNumberFormat="1" applyBorder="1"/>
    <xf numFmtId="10" fontId="0" fillId="0" borderId="0" xfId="0" applyNumberFormat="1" applyBorder="1"/>
    <xf numFmtId="0" fontId="0" fillId="0" borderId="0" xfId="0" pivotButton="1" applyBorder="1"/>
    <xf numFmtId="0" fontId="0" fillId="0" borderId="0" xfId="0" applyBorder="1" applyAlignment="1">
      <alignment horizontal="left"/>
    </xf>
    <xf numFmtId="0" fontId="0" fillId="0" borderId="1" xfId="0" applyBorder="1"/>
    <xf numFmtId="164" fontId="0" fillId="0" borderId="1" xfId="0" applyNumberFormat="1" applyBorder="1" applyAlignment="1">
      <alignment vertical="center" wrapText="1"/>
    </xf>
    <xf numFmtId="14" fontId="0" fillId="0" borderId="0" xfId="0" applyNumberFormat="1" applyBorder="1" applyAlignment="1">
      <alignment vertical="center" wrapText="1"/>
    </xf>
    <xf numFmtId="0" fontId="0" fillId="2" borderId="0" xfId="0" applyFill="1" applyBorder="1" applyAlignment="1">
      <alignment vertical="center" wrapText="1"/>
    </xf>
    <xf numFmtId="0" fontId="1" fillId="0" borderId="0" xfId="0" applyFont="1" applyBorder="1"/>
    <xf numFmtId="164" fontId="2" fillId="3" borderId="0" xfId="0" applyNumberFormat="1" applyFont="1" applyFill="1" applyBorder="1"/>
    <xf numFmtId="0" fontId="1" fillId="0" borderId="0" xfId="0" applyFont="1" applyBorder="1" applyAlignment="1">
      <alignment horizontal="left" vertical="center"/>
    </xf>
    <xf numFmtId="166" fontId="0" fillId="0" borderId="0" xfId="0" applyNumberFormat="1" applyBorder="1"/>
    <xf numFmtId="0" fontId="1" fillId="0" borderId="0" xfId="0" applyFont="1" applyBorder="1" applyAlignment="1">
      <alignment horizontal="left" vertical="center" wrapText="1"/>
    </xf>
    <xf numFmtId="164" fontId="1" fillId="0" borderId="0" xfId="0" applyNumberFormat="1" applyFont="1" applyBorder="1" applyAlignment="1">
      <alignment vertical="center" wrapText="1"/>
    </xf>
    <xf numFmtId="0" fontId="3" fillId="0" borderId="0" xfId="0" applyFont="1" applyBorder="1"/>
    <xf numFmtId="0" fontId="4" fillId="0" borderId="0" xfId="0" applyFont="1" applyBorder="1"/>
    <xf numFmtId="0" fontId="1" fillId="4" borderId="2" xfId="0" applyFont="1" applyFill="1" applyBorder="1" applyAlignment="1">
      <alignment horizontal="center"/>
    </xf>
    <xf numFmtId="0" fontId="0" fillId="0" borderId="2" xfId="0" applyBorder="1"/>
    <xf numFmtId="164" fontId="0" fillId="0" borderId="2" xfId="0" applyNumberFormat="1" applyBorder="1"/>
    <xf numFmtId="166" fontId="0" fillId="0" borderId="2" xfId="0" applyNumberFormat="1" applyBorder="1"/>
    <xf numFmtId="0" fontId="1" fillId="4" borderId="2" xfId="0" applyFont="1" applyFill="1" applyBorder="1"/>
    <xf numFmtId="164" fontId="1" fillId="4" borderId="2" xfId="0" applyNumberFormat="1" applyFont="1" applyFill="1" applyBorder="1"/>
    <xf numFmtId="166" fontId="1" fillId="4" borderId="2" xfId="0" applyNumberFormat="1" applyFont="1" applyFill="1" applyBorder="1"/>
    <xf numFmtId="0" fontId="1" fillId="4" borderId="2" xfId="0" applyFont="1" applyFill="1" applyBorder="1" applyAlignment="1">
      <alignment horizontal="center" wrapText="1"/>
    </xf>
    <xf numFmtId="164" fontId="2" fillId="3" borderId="2" xfId="0" applyNumberFormat="1" applyFont="1" applyFill="1" applyBorder="1"/>
    <xf numFmtId="0" fontId="6" fillId="0" borderId="4" xfId="0" applyFont="1" applyBorder="1"/>
    <xf numFmtId="0" fontId="5" fillId="0" borderId="4" xfId="0" applyFont="1" applyBorder="1"/>
    <xf numFmtId="0" fontId="7" fillId="5" borderId="5" xfId="0" applyFont="1" applyFill="1" applyBorder="1" applyAlignment="1">
      <alignment horizontal="center" vertical="center" wrapText="1"/>
    </xf>
    <xf numFmtId="0" fontId="5" fillId="0" borderId="5" xfId="0" applyFont="1" applyBorder="1"/>
    <xf numFmtId="1" fontId="5" fillId="0" borderId="5" xfId="0" applyNumberFormat="1" applyFont="1" applyBorder="1" applyAlignment="1">
      <alignment horizontal="center"/>
    </xf>
    <xf numFmtId="164" fontId="5" fillId="0" borderId="5" xfId="0" applyNumberFormat="1" applyFont="1" applyBorder="1"/>
    <xf numFmtId="167" fontId="5" fillId="0" borderId="5" xfId="0" applyNumberFormat="1" applyFont="1" applyBorder="1" applyAlignment="1">
      <alignment horizontal="center"/>
    </xf>
    <xf numFmtId="164" fontId="8" fillId="6" borderId="5" xfId="0" applyNumberFormat="1" applyFont="1" applyFill="1" applyBorder="1"/>
    <xf numFmtId="0" fontId="9" fillId="7" borderId="5" xfId="0" applyFont="1" applyFill="1" applyBorder="1"/>
    <xf numFmtId="0" fontId="5" fillId="7" borderId="5" xfId="0" applyFont="1" applyFill="1" applyBorder="1"/>
    <xf numFmtId="164" fontId="9" fillId="7" borderId="5" xfId="0" applyNumberFormat="1" applyFont="1" applyFill="1" applyBorder="1"/>
    <xf numFmtId="0" fontId="7" fillId="0" borderId="4" xfId="0" applyFont="1" applyBorder="1"/>
    <xf numFmtId="166" fontId="9" fillId="7" borderId="5" xfId="0" applyNumberFormat="1" applyFont="1" applyFill="1" applyBorder="1"/>
    <xf numFmtId="1" fontId="8" fillId="6" borderId="5" xfId="0" applyNumberFormat="1" applyFont="1" applyFill="1" applyBorder="1"/>
    <xf numFmtId="0" fontId="10" fillId="0" borderId="4" xfId="0" applyFont="1" applyBorder="1"/>
    <xf numFmtId="1" fontId="5" fillId="0" borderId="5" xfId="0" applyNumberFormat="1" applyFont="1" applyBorder="1"/>
    <xf numFmtId="166" fontId="5" fillId="0" borderId="5" xfId="0" applyNumberFormat="1" applyFont="1" applyBorder="1"/>
    <xf numFmtId="0" fontId="0" fillId="0" borderId="4" xfId="0" applyBorder="1" applyAlignment="1">
      <alignment vertical="center" wrapText="1"/>
    </xf>
    <xf numFmtId="0" fontId="0" fillId="0" borderId="4" xfId="0" applyBorder="1"/>
    <xf numFmtId="0" fontId="0" fillId="0" borderId="4" xfId="0" applyBorder="1" applyAlignment="1">
      <alignment vertical="center"/>
    </xf>
    <xf numFmtId="0" fontId="9" fillId="7" borderId="5" xfId="0" applyFont="1" applyFill="1" applyBorder="1"/>
    <xf numFmtId="0" fontId="0" fillId="0" borderId="6" xfId="0" applyBorder="1"/>
    <xf numFmtId="0" fontId="5" fillId="0" borderId="5" xfId="0" applyFont="1" applyBorder="1"/>
    <xf numFmtId="0" fontId="0" fillId="7" borderId="5" xfId="0" applyFill="1" applyBorder="1"/>
    <xf numFmtId="0" fontId="7" fillId="5" borderId="5" xfId="0" applyFont="1" applyFill="1" applyBorder="1" applyAlignment="1">
      <alignment horizontal="center" vertical="center" wrapText="1"/>
    </xf>
    <xf numFmtId="0" fontId="0" fillId="0" borderId="3" xfId="0" applyAlignment="1">
      <alignment horizontal="center"/>
    </xf>
    <xf numFmtId="0" fontId="0" fillId="0" borderId="0" xfId="0" applyBorder="1"/>
    <xf numFmtId="165" fontId="0" fillId="0" borderId="4" xfId="0" applyNumberFormat="1" applyFill="1" applyBorder="1" applyAlignment="1">
      <alignment horizontal="center" vertical="center" wrapText="1"/>
    </xf>
    <xf numFmtId="0" fontId="0" fillId="0" borderId="4" xfId="0" applyFill="1" applyBorder="1" applyAlignment="1">
      <alignment vertical="center" wrapText="1"/>
    </xf>
    <xf numFmtId="0" fontId="0" fillId="0" borderId="0" xfId="0" applyFont="1" applyBorder="1" applyAlignment="1">
      <alignment vertical="center" wrapText="1"/>
    </xf>
    <xf numFmtId="164" fontId="0" fillId="2" borderId="4" xfId="0" applyNumberFormat="1" applyFill="1" applyBorder="1" applyAlignment="1">
      <alignment vertical="center" wrapText="1"/>
    </xf>
    <xf numFmtId="0" fontId="0" fillId="0" borderId="1" xfId="0" applyFill="1" applyBorder="1" applyAlignment="1">
      <alignment vertical="center" wrapText="1"/>
    </xf>
  </cellXfs>
  <cellStyles count="1">
    <cellStyle name="Normal" xfId="0" builtinId="0"/>
  </cellStyles>
  <dxfs count="206">
    <dxf>
      <alignment horizontal="general" vertical="center" textRotation="0" wrapText="1" indent="0" justifyLastLine="0" shrinkToFit="0" readingOrder="0"/>
    </dxf>
    <dxf>
      <numFmt numFmtId="164" formatCode="[$IDR]\ #,##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65" formatCode="[$-409]d\-mmm\-yyyy;@"/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alignment horizontal="general" vertical="center" textRotation="0" wrapText="1" indent="0" justifyLastLine="0" shrinkToFit="0" readingOrder="0"/>
    </dxf>
    <dxf>
      <numFmt numFmtId="164" formatCode="[$IDR]\ #,##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65" formatCode="[$-409]d\-mmm\-yyyy;@"/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alignment horizontal="general" vertical="center" wrapText="1"/>
      <border>
        <left/>
        <right style="thin">
          <color indexed="64"/>
        </right>
        <top/>
        <bottom/>
        <vertical/>
        <horizontal/>
      </border>
    </dxf>
    <dxf>
      <numFmt numFmtId="164" formatCode="[$IDR]\ #,##0"/>
      <fill>
        <patternFill>
          <fgColor indexed="64"/>
          <bgColor theme="7"/>
        </patternFill>
      </fill>
      <alignment horizontal="general" vertical="center" wrapText="1"/>
    </dxf>
    <dxf>
      <font>
        <sz val="11"/>
      </font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numFmt numFmtId="165" formatCode="[$-409]d\-mmm\-yyyy;@"/>
      <alignment horizontal="center" vertical="center" wrapText="1"/>
    </dxf>
    <dxf>
      <alignment horizontal="general" vertic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alignment horizontal="general" vertical="center" wrapText="1"/>
      <border>
        <left/>
        <right style="thin">
          <color indexed="64"/>
        </right>
        <top/>
        <bottom/>
        <vertical/>
        <horizontal/>
      </border>
    </dxf>
    <dxf>
      <numFmt numFmtId="164" formatCode="[$IDR]\ #,##0"/>
      <fill>
        <patternFill>
          <fgColor indexed="64"/>
          <bgColor theme="7"/>
        </patternFill>
      </fill>
      <alignment horizontal="general" vertical="center" wrapText="1"/>
    </dxf>
    <dxf>
      <font>
        <sz val="11"/>
      </font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numFmt numFmtId="165" formatCode="[$-409]d\-mmm\-yyyy;@"/>
      <alignment horizontal="center" vertical="center" wrapText="1"/>
    </dxf>
    <dxf>
      <alignment horizontal="general" vertic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alignment horizontal="general" vertical="center" wrapText="1"/>
      <border>
        <left/>
        <right style="thin">
          <color indexed="64"/>
        </right>
        <top/>
        <bottom/>
        <vertical/>
        <horizontal/>
      </border>
    </dxf>
    <dxf>
      <numFmt numFmtId="164" formatCode="[$IDR]\ #,##0"/>
      <fill>
        <patternFill>
          <fgColor indexed="64"/>
          <bgColor theme="7"/>
        </patternFill>
      </fill>
      <alignment horizontal="general" vertical="center" wrapText="1"/>
    </dxf>
    <dxf>
      <font>
        <sz val="11"/>
      </font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numFmt numFmtId="165" formatCode="[$-409]d\-mmm\-yyyy;@"/>
      <alignment horizontal="center" vertical="center" wrapText="1"/>
    </dxf>
    <dxf>
      <alignment horizontal="general" vertic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alignment horizontal="general" vertical="center" wrapText="1"/>
      <border>
        <left/>
        <right style="thin">
          <color indexed="64"/>
        </right>
        <top/>
        <bottom/>
        <vertical/>
        <horizontal/>
      </border>
    </dxf>
    <dxf>
      <numFmt numFmtId="164" formatCode="[$IDR]\ #,##0"/>
      <fill>
        <patternFill>
          <fgColor indexed="64"/>
          <bgColor theme="7"/>
        </patternFill>
      </fill>
      <alignment horizontal="general" vertical="center" wrapText="1"/>
    </dxf>
    <dxf>
      <font>
        <sz val="11"/>
      </font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numFmt numFmtId="165" formatCode="[$-409]d\-mmm\-yyyy;@"/>
      <alignment horizontal="center" vertical="center" wrapText="1"/>
    </dxf>
    <dxf>
      <alignment horizontal="general" vertic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alignment horizontal="general" vertical="center" wrapText="1"/>
      <border>
        <left/>
        <right style="thin">
          <color indexed="64"/>
        </right>
        <top/>
        <bottom/>
        <vertical/>
        <horizontal/>
      </border>
    </dxf>
    <dxf>
      <numFmt numFmtId="164" formatCode="[$IDR]\ #,##0"/>
      <fill>
        <patternFill>
          <fgColor indexed="64"/>
          <bgColor theme="7"/>
        </patternFill>
      </fill>
      <alignment horizontal="general" vertical="center" wrapText="1"/>
    </dxf>
    <dxf>
      <font>
        <sz val="11"/>
      </font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numFmt numFmtId="165" formatCode="[$-409]d\-mmm\-yyyy;@"/>
      <alignment horizontal="center" vertical="center" wrapText="1"/>
    </dxf>
    <dxf>
      <alignment horizontal="general" vertic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alignment horizontal="general" vertical="center" wrapText="1"/>
      <border>
        <left/>
        <right style="thin">
          <color indexed="64"/>
        </right>
        <top/>
        <bottom/>
        <vertical/>
        <horizontal/>
      </border>
    </dxf>
    <dxf>
      <numFmt numFmtId="164" formatCode="[$IDR]\ #,##0"/>
      <fill>
        <patternFill>
          <fgColor indexed="64"/>
          <bgColor theme="7"/>
        </patternFill>
      </fill>
      <alignment horizontal="general" vertical="center" wrapText="1"/>
    </dxf>
    <dxf>
      <font>
        <sz val="11"/>
      </font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numFmt numFmtId="165" formatCode="[$-409]d\-mmm\-yyyy;@"/>
      <alignment horizontal="center" vertical="center" wrapText="1"/>
    </dxf>
    <dxf>
      <alignment horizontal="general" vertic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alignment horizontal="general" vertical="center" wrapText="1"/>
      <border>
        <left/>
        <right style="thin">
          <color indexed="64"/>
        </right>
        <top/>
        <bottom/>
        <vertical/>
        <horizontal/>
      </border>
    </dxf>
    <dxf>
      <numFmt numFmtId="164" formatCode="[$IDR]\ #,##0"/>
      <fill>
        <patternFill>
          <fgColor indexed="64"/>
          <bgColor theme="7"/>
        </patternFill>
      </fill>
      <alignment horizontal="general" vertical="center" wrapText="1"/>
    </dxf>
    <dxf>
      <font>
        <sz val="11"/>
      </font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numFmt numFmtId="165" formatCode="[$-409]d\-mmm\-yyyy;@"/>
      <alignment horizontal="center" vertical="center" wrapText="1"/>
    </dxf>
    <dxf>
      <alignment horizontal="general" vertic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alignment horizontal="general" vertical="center" wrapText="1"/>
      <border>
        <left/>
        <right style="thin">
          <color indexed="64"/>
        </right>
        <top/>
        <bottom/>
        <vertical/>
        <horizontal/>
      </border>
    </dxf>
    <dxf>
      <numFmt numFmtId="164" formatCode="[$IDR]\ #,##0"/>
      <fill>
        <patternFill>
          <fgColor indexed="64"/>
          <bgColor theme="7"/>
        </patternFill>
      </fill>
      <alignment horizontal="general" vertical="center" wrapText="1"/>
    </dxf>
    <dxf>
      <font>
        <sz val="11"/>
      </font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numFmt numFmtId="165" formatCode="[$-409]d\-mmm\-yyyy;@"/>
      <alignment horizontal="center" vertical="center" wrapText="1"/>
    </dxf>
    <dxf>
      <alignment horizontal="general" vertic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alignment horizontal="general" vertical="center" wrapText="1"/>
      <border>
        <left/>
        <right style="thin">
          <color indexed="64"/>
        </right>
        <top/>
        <bottom/>
        <vertical/>
        <horizontal/>
      </border>
    </dxf>
    <dxf>
      <numFmt numFmtId="164" formatCode="[$IDR]\ #,##0"/>
      <fill>
        <patternFill>
          <fgColor indexed="64"/>
          <bgColor theme="7"/>
        </patternFill>
      </fill>
      <alignment horizontal="general" vertical="center" wrapText="1"/>
    </dxf>
    <dxf>
      <font>
        <sz val="11"/>
      </font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numFmt numFmtId="165" formatCode="[$-409]d\-mmm\-yyyy;@"/>
      <alignment horizontal="center" vertical="center" wrapText="1"/>
    </dxf>
    <dxf>
      <alignment horizontal="general" vertic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font>
        <color rgb="FF9C0006"/>
      </font>
      <fill>
        <patternFill patternType="solid">
          <fgColor rgb="FFFFC7CE"/>
        </patternFill>
      </fill>
    </dxf>
    <dxf>
      <font>
        <color rgb="FF006100"/>
      </font>
      <fill>
        <patternFill patternType="solid">
          <fgColor rgb="FFC6EFCE"/>
        </patternFill>
      </fill>
    </dxf>
    <dxf>
      <font>
        <color rgb="FF9C0006"/>
      </font>
      <fill>
        <patternFill patternType="solid">
          <fgColor rgb="FFFFC7CE"/>
        </patternFill>
      </fill>
    </dxf>
    <dxf>
      <alignment horizontal="general" vertical="center" textRotation="0" wrapText="1" indent="0" justifyLastLine="0" shrinkToFit="0" readingOrder="0"/>
    </dxf>
    <dxf>
      <numFmt numFmtId="164" formatCode="[$IDR]\ #,##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65" formatCode="[$-409]d\-mmm\-yyyy;@"/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</dxf>
    <dxf>
      <font>
        <color rgb="FF9C0006"/>
      </font>
    </dxf>
    <dxf>
      <font>
        <color rgb="FF006100"/>
      </font>
    </dxf>
    <dxf>
      <font>
        <color rgb="FF9C0006"/>
      </font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pivotCacheDefinition" Target="pivotCache/pivotCacheDefinition12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openxmlformats.org/officeDocument/2006/relationships/pivotCacheDefinition" Target="pivotCache/pivotCacheDefinition1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6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0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pivotCacheDefinition" Target="pivotCache/pivotCacheDefinition9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8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Pemasukan vs Pengeluaran per Bulan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Rekap!$B$4</c:f>
              <c:strCache>
                <c:ptCount val="1"/>
                <c:pt idx="0">
                  <c:v>Pemasukan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Rekap!$A$5:$A$16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Rekap!$B$5:$B$16</c:f>
              <c:numCache>
                <c:formatCode>[$IDR]\ #,##0</c:formatCode>
                <c:ptCount val="12"/>
                <c:pt idx="0">
                  <c:v>5000000</c:v>
                </c:pt>
                <c:pt idx="1">
                  <c:v>1000000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28-44D5-BF74-A094D4FCE98C}"/>
            </c:ext>
          </c:extLst>
        </c:ser>
        <c:ser>
          <c:idx val="1"/>
          <c:order val="1"/>
          <c:tx>
            <c:strRef>
              <c:f>Rekap!$C$4</c:f>
              <c:strCache>
                <c:ptCount val="1"/>
                <c:pt idx="0">
                  <c:v>Pengeluaran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Rekap!$A$5:$A$16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Rekap!$C$5:$C$16</c:f>
              <c:numCache>
                <c:formatCode>[$IDR]\ #,##0</c:formatCode>
                <c:ptCount val="12"/>
                <c:pt idx="0">
                  <c:v>200000</c:v>
                </c:pt>
                <c:pt idx="1">
                  <c:v>250000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400000</c:v>
                </c:pt>
                <c:pt idx="9">
                  <c:v>0</c:v>
                </c:pt>
                <c:pt idx="10">
                  <c:v>0</c:v>
                </c:pt>
                <c:pt idx="11">
                  <c:v>99000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28-44D5-BF74-A094D4FCE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Rupiah</a:t>
                </a:r>
              </a:p>
            </c:rich>
          </c:tx>
          <c:overlay val="1"/>
        </c:title>
        <c:numFmt formatCode="#,##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Top 10 Kategori Pengeluaran (Jan-Des)</a:t>
            </a:r>
          </a:p>
        </c:rich>
      </c:tx>
      <c:overlay val="1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Rekap!$B$49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Rekap!$A$50:$A$59</c:f>
              <c:strCache>
                <c:ptCount val="10"/>
                <c:pt idx="0">
                  <c:v>Kategori Uji 04</c:v>
                </c:pt>
                <c:pt idx="1">
                  <c:v>Kategori Uji 03</c:v>
                </c:pt>
                <c:pt idx="2">
                  <c:v>Kategori Uji 01</c:v>
                </c:pt>
                <c:pt idx="3">
                  <c:v>Kategori Uji 05</c:v>
                </c:pt>
                <c:pt idx="4">
                  <c:v>Kategori Uji 02</c:v>
                </c:pt>
                <c:pt idx="5">
                  <c:v>Kategori Uji 23</c:v>
                </c:pt>
                <c:pt idx="6">
                  <c:v>Kategori Uji 22</c:v>
                </c:pt>
                <c:pt idx="7">
                  <c:v>Kategori Uji 21</c:v>
                </c:pt>
                <c:pt idx="8">
                  <c:v>Kategori Uji 20</c:v>
                </c:pt>
                <c:pt idx="9">
                  <c:v>Kategori Uji 19</c:v>
                </c:pt>
              </c:strCache>
            </c:strRef>
          </c:cat>
          <c:val>
            <c:numRef>
              <c:f>Rekap!$B$50:$B$59</c:f>
              <c:numCache>
                <c:formatCode>[$IDR]\ #,##0</c:formatCode>
                <c:ptCount val="10"/>
                <c:pt idx="0">
                  <c:v>320000</c:v>
                </c:pt>
                <c:pt idx="1">
                  <c:v>250000</c:v>
                </c:pt>
                <c:pt idx="2">
                  <c:v>205000</c:v>
                </c:pt>
                <c:pt idx="3">
                  <c:v>99000</c:v>
                </c:pt>
                <c:pt idx="4">
                  <c:v>75000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3B-4BC3-9F00-5D4D56D19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b"/>
        <c:majorGridlines/>
        <c:numFmt formatCode="#,##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Selisih Kumulatif (Pemasukan - Pengeluaran)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Rekap!$G$4</c:f>
              <c:strCache>
                <c:ptCount val="1"/>
                <c:pt idx="0">
                  <c:v>Kumulatif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Rekap!$A$5:$A$16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Rekap!$G$5:$G$16</c:f>
              <c:numCache>
                <c:formatCode>[$IDR]\ #,##0</c:formatCode>
                <c:ptCount val="12"/>
                <c:pt idx="0">
                  <c:v>4800000</c:v>
                </c:pt>
                <c:pt idx="1">
                  <c:v>5550000</c:v>
                </c:pt>
                <c:pt idx="2">
                  <c:v>5550000</c:v>
                </c:pt>
                <c:pt idx="3">
                  <c:v>5550000</c:v>
                </c:pt>
                <c:pt idx="4">
                  <c:v>5550000</c:v>
                </c:pt>
                <c:pt idx="5">
                  <c:v>5550000</c:v>
                </c:pt>
                <c:pt idx="6">
                  <c:v>5550000</c:v>
                </c:pt>
                <c:pt idx="7">
                  <c:v>5550000</c:v>
                </c:pt>
                <c:pt idx="8">
                  <c:v>5150000</c:v>
                </c:pt>
                <c:pt idx="9">
                  <c:v>5150000</c:v>
                </c:pt>
                <c:pt idx="10">
                  <c:v>5150000</c:v>
                </c:pt>
                <c:pt idx="11">
                  <c:v>5051000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9F1-4BB2-91A4-64BD85BB2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2E7D32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5EBA-453E-903E-27E7F12881BD}"/>
              </c:ext>
            </c:extLst>
          </c:dPt>
          <c:dPt>
            <c:idx val="1"/>
            <c:bubble3D val="0"/>
            <c:spPr>
              <a:solidFill>
                <a:srgbClr val="C62828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5EBA-453E-903E-27E7F12881BD}"/>
              </c:ext>
            </c:extLst>
          </c:dPt>
          <c:cat>
            <c:strRef>
              <c:f>Jan!$C$2:$C$3</c:f>
              <c:strCache>
                <c:ptCount val="2"/>
                <c:pt idx="0">
                  <c:v>Total Pemasukkan</c:v>
                </c:pt>
                <c:pt idx="1">
                  <c:v>Total Pengeluaran</c:v>
                </c:pt>
              </c:strCache>
            </c:strRef>
          </c:cat>
          <c:val>
            <c:numRef>
              <c:f>Jan!$D$2:$D$3</c:f>
              <c:numCache>
                <c:formatCode>[$IDR]\ #,##0</c:formatCode>
                <c:ptCount val="2"/>
                <c:pt idx="0">
                  <c:v>5000000</c:v>
                </c:pt>
                <c:pt idx="1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BA-453E-903E-27E7F1288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Belanja kumulatif harian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Jan!$AH$1</c:f>
              <c:strCache>
                <c:ptCount val="1"/>
                <c:pt idx="0">
                  <c:v>Belanja kumulatif</c:v>
                </c:pt>
              </c:strCache>
            </c:strRef>
          </c:tx>
          <c:spPr>
            <a:ln w="22000">
              <a:solidFill>
                <a:srgbClr val="1F4E79"/>
              </a:solidFill>
              <a:prstDash val="solid"/>
            </a:ln>
          </c:spPr>
          <c:marker>
            <c:symbol val="none"/>
          </c:marker>
          <c:cat>
            <c:numRef>
              <c:f>Jan!$AF$2:$AF$32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Jan!$AH$2:$AH$32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125000</c:v>
                </c:pt>
                <c:pt idx="3">
                  <c:v>125000</c:v>
                </c:pt>
                <c:pt idx="4">
                  <c:v>125000</c:v>
                </c:pt>
                <c:pt idx="5">
                  <c:v>125000</c:v>
                </c:pt>
                <c:pt idx="6">
                  <c:v>125000</c:v>
                </c:pt>
                <c:pt idx="7">
                  <c:v>125000</c:v>
                </c:pt>
                <c:pt idx="8">
                  <c:v>125000</c:v>
                </c:pt>
                <c:pt idx="9">
                  <c:v>125000</c:v>
                </c:pt>
                <c:pt idx="10">
                  <c:v>125000</c:v>
                </c:pt>
                <c:pt idx="11">
                  <c:v>125000</c:v>
                </c:pt>
                <c:pt idx="12">
                  <c:v>125000</c:v>
                </c:pt>
                <c:pt idx="13">
                  <c:v>125000</c:v>
                </c:pt>
                <c:pt idx="14">
                  <c:v>200000</c:v>
                </c:pt>
                <c:pt idx="15">
                  <c:v>200000</c:v>
                </c:pt>
                <c:pt idx="16">
                  <c:v>200000</c:v>
                </c:pt>
                <c:pt idx="17">
                  <c:v>200000</c:v>
                </c:pt>
                <c:pt idx="18">
                  <c:v>200000</c:v>
                </c:pt>
                <c:pt idx="19">
                  <c:v>200000</c:v>
                </c:pt>
                <c:pt idx="20">
                  <c:v>200000</c:v>
                </c:pt>
                <c:pt idx="21">
                  <c:v>200000</c:v>
                </c:pt>
                <c:pt idx="22">
                  <c:v>200000</c:v>
                </c:pt>
                <c:pt idx="23">
                  <c:v>200000</c:v>
                </c:pt>
                <c:pt idx="24">
                  <c:v>200000</c:v>
                </c:pt>
                <c:pt idx="25">
                  <c:v>200000</c:v>
                </c:pt>
                <c:pt idx="26">
                  <c:v>200000</c:v>
                </c:pt>
                <c:pt idx="27">
                  <c:v>200000</c:v>
                </c:pt>
                <c:pt idx="28">
                  <c:v>200000</c:v>
                </c:pt>
                <c:pt idx="29">
                  <c:v>200000</c:v>
                </c:pt>
                <c:pt idx="30">
                  <c:v>200000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A6-4387-8F82-2BA6F7B88477}"/>
            </c:ext>
          </c:extLst>
        </c:ser>
        <c:ser>
          <c:idx val="1"/>
          <c:order val="1"/>
          <c:tx>
            <c:strRef>
              <c:f>Jan!$AI$1</c:f>
              <c:strCache>
                <c:ptCount val="1"/>
                <c:pt idx="0">
                  <c:v>Laju rata-rata bulanan</c:v>
                </c:pt>
              </c:strCache>
            </c:strRef>
          </c:tx>
          <c:spPr>
            <a:ln w="15000">
              <a:solidFill>
                <a:srgbClr val="A6A6A6"/>
              </a:solidFill>
              <a:prstDash val="dash"/>
            </a:ln>
          </c:spPr>
          <c:marker>
            <c:symbol val="none"/>
          </c:marker>
          <c:cat>
            <c:numRef>
              <c:f>Jan!$AF$2:$AF$32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Jan!$AI$2:$AI$32</c:f>
              <c:numCache>
                <c:formatCode>General</c:formatCode>
                <c:ptCount val="31"/>
                <c:pt idx="0">
                  <c:v>7653.2258064516127</c:v>
                </c:pt>
                <c:pt idx="1">
                  <c:v>15306.451612903225</c:v>
                </c:pt>
                <c:pt idx="2">
                  <c:v>22959.677419354837</c:v>
                </c:pt>
                <c:pt idx="3">
                  <c:v>30612.903225806451</c:v>
                </c:pt>
                <c:pt idx="4">
                  <c:v>38266.129032258061</c:v>
                </c:pt>
                <c:pt idx="5">
                  <c:v>45919.354838709674</c:v>
                </c:pt>
                <c:pt idx="6">
                  <c:v>53572.580645161288</c:v>
                </c:pt>
                <c:pt idx="7">
                  <c:v>61225.806451612902</c:v>
                </c:pt>
                <c:pt idx="8">
                  <c:v>68879.032258064515</c:v>
                </c:pt>
                <c:pt idx="9">
                  <c:v>76532.258064516122</c:v>
                </c:pt>
                <c:pt idx="10">
                  <c:v>84185.483870967742</c:v>
                </c:pt>
                <c:pt idx="11">
                  <c:v>91838.709677419349</c:v>
                </c:pt>
                <c:pt idx="12">
                  <c:v>99491.93548387097</c:v>
                </c:pt>
                <c:pt idx="13">
                  <c:v>107145.16129032258</c:v>
                </c:pt>
                <c:pt idx="14">
                  <c:v>114798.3870967742</c:v>
                </c:pt>
                <c:pt idx="15">
                  <c:v>122451.6129032258</c:v>
                </c:pt>
                <c:pt idx="16">
                  <c:v>130104.83870967741</c:v>
                </c:pt>
                <c:pt idx="17">
                  <c:v>137758.06451612903</c:v>
                </c:pt>
                <c:pt idx="18">
                  <c:v>145411.29032258064</c:v>
                </c:pt>
                <c:pt idx="19">
                  <c:v>153064.51612903224</c:v>
                </c:pt>
                <c:pt idx="20">
                  <c:v>160717.74193548388</c:v>
                </c:pt>
                <c:pt idx="21">
                  <c:v>168370.96774193548</c:v>
                </c:pt>
                <c:pt idx="22">
                  <c:v>176024.19354838709</c:v>
                </c:pt>
                <c:pt idx="23">
                  <c:v>183677.4193548387</c:v>
                </c:pt>
                <c:pt idx="24">
                  <c:v>191330.6451612903</c:v>
                </c:pt>
                <c:pt idx="25">
                  <c:v>198983.87096774194</c:v>
                </c:pt>
                <c:pt idx="26">
                  <c:v>206637.09677419355</c:v>
                </c:pt>
                <c:pt idx="27">
                  <c:v>214290.32258064515</c:v>
                </c:pt>
                <c:pt idx="28">
                  <c:v>221943.54838709676</c:v>
                </c:pt>
                <c:pt idx="29">
                  <c:v>229596.77419354839</c:v>
                </c:pt>
                <c:pt idx="30">
                  <c:v>237250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A6-4387-8F82-2BA6F7B88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Tanggal</a:t>
                </a:r>
              </a:p>
            </c:rich>
          </c:tx>
          <c:overlay val="1"/>
        </c:title>
        <c:numFmt formatCode="General" sourceLinked="1"/>
        <c:majorTickMark val="out"/>
        <c:minorTickMark val="none"/>
        <c:tickLblPos val="low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Rupiah</a:t>
                </a:r>
              </a:p>
            </c:rich>
          </c:tx>
          <c:overlay val="1"/>
        </c:title>
        <c:numFmt formatCode="#,##0" sourceLinked="0"/>
        <c:majorTickMark val="out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2E7D32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224F-4FCE-9876-E69035A30440}"/>
              </c:ext>
            </c:extLst>
          </c:dPt>
          <c:dPt>
            <c:idx val="1"/>
            <c:bubble3D val="0"/>
            <c:spPr>
              <a:solidFill>
                <a:srgbClr val="C62828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224F-4FCE-9876-E69035A30440}"/>
              </c:ext>
            </c:extLst>
          </c:dPt>
          <c:cat>
            <c:strRef>
              <c:f>Feb!$C$2:$C$3</c:f>
              <c:strCache>
                <c:ptCount val="2"/>
                <c:pt idx="0">
                  <c:v>Total Pemasukkan</c:v>
                </c:pt>
                <c:pt idx="1">
                  <c:v>Total Pengeluaran</c:v>
                </c:pt>
              </c:strCache>
            </c:strRef>
          </c:cat>
          <c:val>
            <c:numRef>
              <c:f>Feb!$D$2:$D$3</c:f>
              <c:numCache>
                <c:formatCode>[$IDR]\ #,##0</c:formatCode>
                <c:ptCount val="2"/>
                <c:pt idx="0">
                  <c:v>1000000</c:v>
                </c:pt>
                <c:pt idx="1">
                  <c:v>250000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4F-4FCE-9876-E69035A30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Belanja kumulatif harian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Feb!$AH$1</c:f>
              <c:strCache>
                <c:ptCount val="1"/>
                <c:pt idx="0">
                  <c:v>Belanja kumulatif</c:v>
                </c:pt>
              </c:strCache>
            </c:strRef>
          </c:tx>
          <c:spPr>
            <a:ln w="22000">
              <a:solidFill>
                <a:srgbClr val="1F4E79"/>
              </a:solidFill>
              <a:prstDash val="solid"/>
            </a:ln>
          </c:spPr>
          <c:marker>
            <c:symbol val="none"/>
          </c:marker>
          <c:cat>
            <c:numRef>
              <c:f>Feb!$AF$2:$AF$32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Feb!$AH$2:$AH$32</c:f>
              <c:numCache>
                <c:formatCode>General</c:formatCode>
                <c:ptCount val="31"/>
                <c:pt idx="0">
                  <c:v>0</c:v>
                </c:pt>
                <c:pt idx="1">
                  <c:v>250000</c:v>
                </c:pt>
                <c:pt idx="2">
                  <c:v>250000</c:v>
                </c:pt>
                <c:pt idx="3">
                  <c:v>250000</c:v>
                </c:pt>
                <c:pt idx="4">
                  <c:v>250000</c:v>
                </c:pt>
                <c:pt idx="5">
                  <c:v>250000</c:v>
                </c:pt>
                <c:pt idx="6">
                  <c:v>250000</c:v>
                </c:pt>
                <c:pt idx="7">
                  <c:v>250000</c:v>
                </c:pt>
                <c:pt idx="8">
                  <c:v>250000</c:v>
                </c:pt>
                <c:pt idx="9">
                  <c:v>250000</c:v>
                </c:pt>
                <c:pt idx="10">
                  <c:v>250000</c:v>
                </c:pt>
                <c:pt idx="11">
                  <c:v>250000</c:v>
                </c:pt>
                <c:pt idx="12">
                  <c:v>250000</c:v>
                </c:pt>
                <c:pt idx="13">
                  <c:v>250000</c:v>
                </c:pt>
                <c:pt idx="14">
                  <c:v>250000</c:v>
                </c:pt>
                <c:pt idx="15">
                  <c:v>250000</c:v>
                </c:pt>
                <c:pt idx="16">
                  <c:v>250000</c:v>
                </c:pt>
                <c:pt idx="17">
                  <c:v>250000</c:v>
                </c:pt>
                <c:pt idx="18">
                  <c:v>250000</c:v>
                </c:pt>
                <c:pt idx="19">
                  <c:v>250000</c:v>
                </c:pt>
                <c:pt idx="20">
                  <c:v>250000</c:v>
                </c:pt>
                <c:pt idx="21">
                  <c:v>250000</c:v>
                </c:pt>
                <c:pt idx="22">
                  <c:v>250000</c:v>
                </c:pt>
                <c:pt idx="23">
                  <c:v>250000</c:v>
                </c:pt>
                <c:pt idx="24">
                  <c:v>250000</c:v>
                </c:pt>
                <c:pt idx="25">
                  <c:v>250000</c:v>
                </c:pt>
                <c:pt idx="26">
                  <c:v>250000</c:v>
                </c:pt>
                <c:pt idx="27">
                  <c:v>250000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D1-4CF9-8613-FC7C23E1498C}"/>
            </c:ext>
          </c:extLst>
        </c:ser>
        <c:ser>
          <c:idx val="1"/>
          <c:order val="1"/>
          <c:tx>
            <c:strRef>
              <c:f>Feb!$AI$1</c:f>
              <c:strCache>
                <c:ptCount val="1"/>
                <c:pt idx="0">
                  <c:v>Laju rata-rata bulanan</c:v>
                </c:pt>
              </c:strCache>
            </c:strRef>
          </c:tx>
          <c:spPr>
            <a:ln w="15000">
              <a:solidFill>
                <a:srgbClr val="A6A6A6"/>
              </a:solidFill>
              <a:prstDash val="dash"/>
            </a:ln>
          </c:spPr>
          <c:marker>
            <c:symbol val="none"/>
          </c:marker>
          <c:cat>
            <c:numRef>
              <c:f>Feb!$AF$2:$AF$32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Feb!$AI$2:$AI$32</c:f>
              <c:numCache>
                <c:formatCode>General</c:formatCode>
                <c:ptCount val="31"/>
                <c:pt idx="0">
                  <c:v>8473.2142857142862</c:v>
                </c:pt>
                <c:pt idx="1">
                  <c:v>16946.428571428572</c:v>
                </c:pt>
                <c:pt idx="2">
                  <c:v>25419.642857142859</c:v>
                </c:pt>
                <c:pt idx="3">
                  <c:v>33892.857142857145</c:v>
                </c:pt>
                <c:pt idx="4">
                  <c:v>42366.071428571435</c:v>
                </c:pt>
                <c:pt idx="5">
                  <c:v>50839.285714285717</c:v>
                </c:pt>
                <c:pt idx="6">
                  <c:v>59312.5</c:v>
                </c:pt>
                <c:pt idx="7">
                  <c:v>67785.71428571429</c:v>
                </c:pt>
                <c:pt idx="8">
                  <c:v>76258.92857142858</c:v>
                </c:pt>
                <c:pt idx="9">
                  <c:v>84732.14285714287</c:v>
                </c:pt>
                <c:pt idx="10">
                  <c:v>93205.357142857145</c:v>
                </c:pt>
                <c:pt idx="11">
                  <c:v>101678.57142857143</c:v>
                </c:pt>
                <c:pt idx="12">
                  <c:v>110151.78571428572</c:v>
                </c:pt>
                <c:pt idx="13">
                  <c:v>118625</c:v>
                </c:pt>
                <c:pt idx="14">
                  <c:v>127098.21428571429</c:v>
                </c:pt>
                <c:pt idx="15">
                  <c:v>135571.42857142858</c:v>
                </c:pt>
                <c:pt idx="16">
                  <c:v>144044.64285714287</c:v>
                </c:pt>
                <c:pt idx="17">
                  <c:v>152517.85714285716</c:v>
                </c:pt>
                <c:pt idx="18">
                  <c:v>160991.07142857145</c:v>
                </c:pt>
                <c:pt idx="19">
                  <c:v>169464.28571428574</c:v>
                </c:pt>
                <c:pt idx="20">
                  <c:v>177937.5</c:v>
                </c:pt>
                <c:pt idx="21">
                  <c:v>186410.71428571429</c:v>
                </c:pt>
                <c:pt idx="22">
                  <c:v>194883.92857142858</c:v>
                </c:pt>
                <c:pt idx="23">
                  <c:v>203357.14285714287</c:v>
                </c:pt>
                <c:pt idx="24">
                  <c:v>211830.35714285716</c:v>
                </c:pt>
                <c:pt idx="25">
                  <c:v>220303.57142857145</c:v>
                </c:pt>
                <c:pt idx="26">
                  <c:v>228776.78571428574</c:v>
                </c:pt>
                <c:pt idx="27">
                  <c:v>237250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D1-4CF9-8613-FC7C23E14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Tanggal</a:t>
                </a:r>
              </a:p>
            </c:rich>
          </c:tx>
          <c:overlay val="1"/>
        </c:title>
        <c:numFmt formatCode="General" sourceLinked="1"/>
        <c:majorTickMark val="out"/>
        <c:minorTickMark val="none"/>
        <c:tickLblPos val="low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Rupiah</a:t>
                </a:r>
              </a:p>
            </c:rich>
          </c:tx>
          <c:overlay val="1"/>
        </c:title>
        <c:numFmt formatCode="#,##0" sourceLinked="0"/>
        <c:majorTickMark val="out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2E7D32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5C1F-47C8-95B5-C7B205A7E6D1}"/>
              </c:ext>
            </c:extLst>
          </c:dPt>
          <c:dPt>
            <c:idx val="1"/>
            <c:bubble3D val="0"/>
            <c:spPr>
              <a:solidFill>
                <a:srgbClr val="C62828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5C1F-47C8-95B5-C7B205A7E6D1}"/>
              </c:ext>
            </c:extLst>
          </c:dPt>
          <c:cat>
            <c:strRef>
              <c:f>Mar!$C$2:$C$3</c:f>
              <c:strCache>
                <c:ptCount val="2"/>
                <c:pt idx="0">
                  <c:v>Total Pemasukkan</c:v>
                </c:pt>
                <c:pt idx="1">
                  <c:v>Total Pengeluaran</c:v>
                </c:pt>
              </c:strCache>
            </c:strRef>
          </c:cat>
          <c:val>
            <c:numRef>
              <c:f>Mar!$D$2:$D$3</c:f>
              <c:numCache>
                <c:formatCode>[$IDR]\ 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1F-47C8-95B5-C7B205A7E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Belanja kumulatif harian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Mar!$AH$1</c:f>
              <c:strCache>
                <c:ptCount val="1"/>
                <c:pt idx="0">
                  <c:v>Belanja kumulatif</c:v>
                </c:pt>
              </c:strCache>
            </c:strRef>
          </c:tx>
          <c:spPr>
            <a:ln w="22000">
              <a:solidFill>
                <a:srgbClr val="1F4E79"/>
              </a:solidFill>
              <a:prstDash val="solid"/>
            </a:ln>
          </c:spPr>
          <c:marker>
            <c:symbol val="none"/>
          </c:marker>
          <c:cat>
            <c:numRef>
              <c:f>Mar!$AF$2:$AF$32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Mar!$AH$2:$AH$32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3-4982-897C-C30E28782D93}"/>
            </c:ext>
          </c:extLst>
        </c:ser>
        <c:ser>
          <c:idx val="1"/>
          <c:order val="1"/>
          <c:tx>
            <c:strRef>
              <c:f>Mar!$AI$1</c:f>
              <c:strCache>
                <c:ptCount val="1"/>
                <c:pt idx="0">
                  <c:v>Laju rata-rata bulanan</c:v>
                </c:pt>
              </c:strCache>
            </c:strRef>
          </c:tx>
          <c:spPr>
            <a:ln w="15000">
              <a:solidFill>
                <a:srgbClr val="A6A6A6"/>
              </a:solidFill>
              <a:prstDash val="dash"/>
            </a:ln>
          </c:spPr>
          <c:marker>
            <c:symbol val="none"/>
          </c:marker>
          <c:cat>
            <c:numRef>
              <c:f>Mar!$AF$2:$AF$32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Mar!$AI$2:$AI$32</c:f>
              <c:numCache>
                <c:formatCode>General</c:formatCode>
                <c:ptCount val="31"/>
                <c:pt idx="0">
                  <c:v>7653.2258064516127</c:v>
                </c:pt>
                <c:pt idx="1">
                  <c:v>15306.451612903225</c:v>
                </c:pt>
                <c:pt idx="2">
                  <c:v>22959.677419354837</c:v>
                </c:pt>
                <c:pt idx="3">
                  <c:v>30612.903225806451</c:v>
                </c:pt>
                <c:pt idx="4">
                  <c:v>38266.129032258061</c:v>
                </c:pt>
                <c:pt idx="5">
                  <c:v>45919.354838709674</c:v>
                </c:pt>
                <c:pt idx="6">
                  <c:v>53572.580645161288</c:v>
                </c:pt>
                <c:pt idx="7">
                  <c:v>61225.806451612902</c:v>
                </c:pt>
                <c:pt idx="8">
                  <c:v>68879.032258064515</c:v>
                </c:pt>
                <c:pt idx="9">
                  <c:v>76532.258064516122</c:v>
                </c:pt>
                <c:pt idx="10">
                  <c:v>84185.483870967742</c:v>
                </c:pt>
                <c:pt idx="11">
                  <c:v>91838.709677419349</c:v>
                </c:pt>
                <c:pt idx="12">
                  <c:v>99491.93548387097</c:v>
                </c:pt>
                <c:pt idx="13">
                  <c:v>107145.16129032258</c:v>
                </c:pt>
                <c:pt idx="14">
                  <c:v>114798.3870967742</c:v>
                </c:pt>
                <c:pt idx="15">
                  <c:v>122451.6129032258</c:v>
                </c:pt>
                <c:pt idx="16">
                  <c:v>130104.83870967741</c:v>
                </c:pt>
                <c:pt idx="17">
                  <c:v>137758.06451612903</c:v>
                </c:pt>
                <c:pt idx="18">
                  <c:v>145411.29032258064</c:v>
                </c:pt>
                <c:pt idx="19">
                  <c:v>153064.51612903224</c:v>
                </c:pt>
                <c:pt idx="20">
                  <c:v>160717.74193548388</c:v>
                </c:pt>
                <c:pt idx="21">
                  <c:v>168370.96774193548</c:v>
                </c:pt>
                <c:pt idx="22">
                  <c:v>176024.19354838709</c:v>
                </c:pt>
                <c:pt idx="23">
                  <c:v>183677.4193548387</c:v>
                </c:pt>
                <c:pt idx="24">
                  <c:v>191330.6451612903</c:v>
                </c:pt>
                <c:pt idx="25">
                  <c:v>198983.87096774194</c:v>
                </c:pt>
                <c:pt idx="26">
                  <c:v>206637.09677419355</c:v>
                </c:pt>
                <c:pt idx="27">
                  <c:v>214290.32258064515</c:v>
                </c:pt>
                <c:pt idx="28">
                  <c:v>221943.54838709676</c:v>
                </c:pt>
                <c:pt idx="29">
                  <c:v>229596.77419354839</c:v>
                </c:pt>
                <c:pt idx="30">
                  <c:v>237250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43-4982-897C-C30E28782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Tanggal</a:t>
                </a:r>
              </a:p>
            </c:rich>
          </c:tx>
          <c:overlay val="1"/>
        </c:title>
        <c:numFmt formatCode="General" sourceLinked="1"/>
        <c:majorTickMark val="out"/>
        <c:minorTickMark val="none"/>
        <c:tickLblPos val="low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Rupiah</a:t>
                </a:r>
              </a:p>
            </c:rich>
          </c:tx>
          <c:overlay val="1"/>
        </c:title>
        <c:numFmt formatCode="#,##0" sourceLinked="0"/>
        <c:majorTickMark val="out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2E7D32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25F-4FAB-BC69-01031F61D4FD}"/>
              </c:ext>
            </c:extLst>
          </c:dPt>
          <c:dPt>
            <c:idx val="1"/>
            <c:bubble3D val="0"/>
            <c:spPr>
              <a:solidFill>
                <a:srgbClr val="C62828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25F-4FAB-BC69-01031F61D4FD}"/>
              </c:ext>
            </c:extLst>
          </c:dPt>
          <c:cat>
            <c:strRef>
              <c:f>April!$C$2:$C$3</c:f>
              <c:strCache>
                <c:ptCount val="2"/>
                <c:pt idx="0">
                  <c:v>Total Pemasukkan</c:v>
                </c:pt>
                <c:pt idx="1">
                  <c:v>Total Pengeluaran</c:v>
                </c:pt>
              </c:strCache>
            </c:strRef>
          </c:cat>
          <c:val>
            <c:numRef>
              <c:f>April!$D$2:$D$3</c:f>
              <c:numCache>
                <c:formatCode>[$IDR]\ 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5F-4FAB-BC69-01031F61D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Belanja kumulatif harian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April!$AH$1</c:f>
              <c:strCache>
                <c:ptCount val="1"/>
                <c:pt idx="0">
                  <c:v>Belanja kumulatif</c:v>
                </c:pt>
              </c:strCache>
            </c:strRef>
          </c:tx>
          <c:spPr>
            <a:ln w="22000">
              <a:solidFill>
                <a:srgbClr val="1F4E79"/>
              </a:solidFill>
              <a:prstDash val="solid"/>
            </a:ln>
          </c:spPr>
          <c:marker>
            <c:symbol val="none"/>
          </c:marker>
          <c:cat>
            <c:numRef>
              <c:f>April!$AF$2:$AF$32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April!$AH$2:$AH$32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4-4A61-8851-AEC2BF755B79}"/>
            </c:ext>
          </c:extLst>
        </c:ser>
        <c:ser>
          <c:idx val="1"/>
          <c:order val="1"/>
          <c:tx>
            <c:strRef>
              <c:f>April!$AI$1</c:f>
              <c:strCache>
                <c:ptCount val="1"/>
                <c:pt idx="0">
                  <c:v>Laju rata-rata bulanan</c:v>
                </c:pt>
              </c:strCache>
            </c:strRef>
          </c:tx>
          <c:spPr>
            <a:ln w="15000">
              <a:solidFill>
                <a:srgbClr val="A6A6A6"/>
              </a:solidFill>
              <a:prstDash val="dash"/>
            </a:ln>
          </c:spPr>
          <c:marker>
            <c:symbol val="none"/>
          </c:marker>
          <c:cat>
            <c:numRef>
              <c:f>April!$AF$2:$AF$32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April!$AI$2:$AI$32</c:f>
              <c:numCache>
                <c:formatCode>General</c:formatCode>
                <c:ptCount val="31"/>
                <c:pt idx="0">
                  <c:v>7908.333333333333</c:v>
                </c:pt>
                <c:pt idx="1">
                  <c:v>15816.666666666666</c:v>
                </c:pt>
                <c:pt idx="2">
                  <c:v>23725</c:v>
                </c:pt>
                <c:pt idx="3">
                  <c:v>31633.333333333332</c:v>
                </c:pt>
                <c:pt idx="4">
                  <c:v>39541.666666666664</c:v>
                </c:pt>
                <c:pt idx="5">
                  <c:v>47450</c:v>
                </c:pt>
                <c:pt idx="6">
                  <c:v>55358.333333333328</c:v>
                </c:pt>
                <c:pt idx="7">
                  <c:v>63266.666666666664</c:v>
                </c:pt>
                <c:pt idx="8">
                  <c:v>71175</c:v>
                </c:pt>
                <c:pt idx="9">
                  <c:v>79083.333333333328</c:v>
                </c:pt>
                <c:pt idx="10">
                  <c:v>86991.666666666657</c:v>
                </c:pt>
                <c:pt idx="11">
                  <c:v>94900</c:v>
                </c:pt>
                <c:pt idx="12">
                  <c:v>102808.33333333333</c:v>
                </c:pt>
                <c:pt idx="13">
                  <c:v>110716.66666666666</c:v>
                </c:pt>
                <c:pt idx="14">
                  <c:v>118625</c:v>
                </c:pt>
                <c:pt idx="15">
                  <c:v>126533.33333333333</c:v>
                </c:pt>
                <c:pt idx="16">
                  <c:v>134441.66666666666</c:v>
                </c:pt>
                <c:pt idx="17">
                  <c:v>142350</c:v>
                </c:pt>
                <c:pt idx="18">
                  <c:v>150258.33333333331</c:v>
                </c:pt>
                <c:pt idx="19">
                  <c:v>158166.66666666666</c:v>
                </c:pt>
                <c:pt idx="20">
                  <c:v>166075</c:v>
                </c:pt>
                <c:pt idx="21">
                  <c:v>173983.33333333331</c:v>
                </c:pt>
                <c:pt idx="22">
                  <c:v>181891.66666666666</c:v>
                </c:pt>
                <c:pt idx="23">
                  <c:v>189800</c:v>
                </c:pt>
                <c:pt idx="24">
                  <c:v>197708.33333333331</c:v>
                </c:pt>
                <c:pt idx="25">
                  <c:v>205616.66666666666</c:v>
                </c:pt>
                <c:pt idx="26">
                  <c:v>213525</c:v>
                </c:pt>
                <c:pt idx="27">
                  <c:v>221433.33333333331</c:v>
                </c:pt>
                <c:pt idx="28">
                  <c:v>229341.66666666666</c:v>
                </c:pt>
                <c:pt idx="29">
                  <c:v>237250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4-4A61-8851-AEC2BF755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Tanggal</a:t>
                </a:r>
              </a:p>
            </c:rich>
          </c:tx>
          <c:overlay val="1"/>
        </c:title>
        <c:numFmt formatCode="General" sourceLinked="1"/>
        <c:majorTickMark val="out"/>
        <c:minorTickMark val="none"/>
        <c:tickLblPos val="low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Rupiah</a:t>
                </a:r>
              </a:p>
            </c:rich>
          </c:tx>
          <c:overlay val="1"/>
        </c:title>
        <c:numFmt formatCode="#,##0" sourceLinked="0"/>
        <c:majorTickMark val="out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2E7D32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AAD-4D78-9E59-EC131B8B2A13}"/>
              </c:ext>
            </c:extLst>
          </c:dPt>
          <c:dPt>
            <c:idx val="1"/>
            <c:bubble3D val="0"/>
            <c:spPr>
              <a:solidFill>
                <a:srgbClr val="C62828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DAAD-4D78-9E59-EC131B8B2A13}"/>
              </c:ext>
            </c:extLst>
          </c:dPt>
          <c:cat>
            <c:strRef>
              <c:f>May!$C$2:$C$3</c:f>
              <c:strCache>
                <c:ptCount val="2"/>
                <c:pt idx="0">
                  <c:v>Total Pemasukkan</c:v>
                </c:pt>
                <c:pt idx="1">
                  <c:v>Total Pengeluaran</c:v>
                </c:pt>
              </c:strCache>
            </c:strRef>
          </c:cat>
          <c:val>
            <c:numRef>
              <c:f>May!$D$2:$D$3</c:f>
              <c:numCache>
                <c:formatCode>[$IDR]\ 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AD-4D78-9E59-EC131B8B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Belanja kumulatif harian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May!$AH$1</c:f>
              <c:strCache>
                <c:ptCount val="1"/>
                <c:pt idx="0">
                  <c:v>Belanja kumulatif</c:v>
                </c:pt>
              </c:strCache>
            </c:strRef>
          </c:tx>
          <c:spPr>
            <a:ln w="22000">
              <a:solidFill>
                <a:srgbClr val="1F4E79"/>
              </a:solidFill>
              <a:prstDash val="solid"/>
            </a:ln>
          </c:spPr>
          <c:marker>
            <c:symbol val="none"/>
          </c:marker>
          <c:cat>
            <c:numRef>
              <c:f>May!$AF$2:$AF$32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May!$AH$2:$AH$32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A1-48A2-AB54-A08DD93A8315}"/>
            </c:ext>
          </c:extLst>
        </c:ser>
        <c:ser>
          <c:idx val="1"/>
          <c:order val="1"/>
          <c:tx>
            <c:strRef>
              <c:f>May!$AI$1</c:f>
              <c:strCache>
                <c:ptCount val="1"/>
                <c:pt idx="0">
                  <c:v>Laju rata-rata bulanan</c:v>
                </c:pt>
              </c:strCache>
            </c:strRef>
          </c:tx>
          <c:spPr>
            <a:ln w="15000">
              <a:solidFill>
                <a:srgbClr val="A6A6A6"/>
              </a:solidFill>
              <a:prstDash val="dash"/>
            </a:ln>
          </c:spPr>
          <c:marker>
            <c:symbol val="none"/>
          </c:marker>
          <c:cat>
            <c:numRef>
              <c:f>May!$AF$2:$AF$32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May!$AI$2:$AI$32</c:f>
              <c:numCache>
                <c:formatCode>General</c:formatCode>
                <c:ptCount val="31"/>
                <c:pt idx="0">
                  <c:v>7653.2258064516127</c:v>
                </c:pt>
                <c:pt idx="1">
                  <c:v>15306.451612903225</c:v>
                </c:pt>
                <c:pt idx="2">
                  <c:v>22959.677419354837</c:v>
                </c:pt>
                <c:pt idx="3">
                  <c:v>30612.903225806451</c:v>
                </c:pt>
                <c:pt idx="4">
                  <c:v>38266.129032258061</c:v>
                </c:pt>
                <c:pt idx="5">
                  <c:v>45919.354838709674</c:v>
                </c:pt>
                <c:pt idx="6">
                  <c:v>53572.580645161288</c:v>
                </c:pt>
                <c:pt idx="7">
                  <c:v>61225.806451612902</c:v>
                </c:pt>
                <c:pt idx="8">
                  <c:v>68879.032258064515</c:v>
                </c:pt>
                <c:pt idx="9">
                  <c:v>76532.258064516122</c:v>
                </c:pt>
                <c:pt idx="10">
                  <c:v>84185.483870967742</c:v>
                </c:pt>
                <c:pt idx="11">
                  <c:v>91838.709677419349</c:v>
                </c:pt>
                <c:pt idx="12">
                  <c:v>99491.93548387097</c:v>
                </c:pt>
                <c:pt idx="13">
                  <c:v>107145.16129032258</c:v>
                </c:pt>
                <c:pt idx="14">
                  <c:v>114798.3870967742</c:v>
                </c:pt>
                <c:pt idx="15">
                  <c:v>122451.6129032258</c:v>
                </c:pt>
                <c:pt idx="16">
                  <c:v>130104.83870967741</c:v>
                </c:pt>
                <c:pt idx="17">
                  <c:v>137758.06451612903</c:v>
                </c:pt>
                <c:pt idx="18">
                  <c:v>145411.29032258064</c:v>
                </c:pt>
                <c:pt idx="19">
                  <c:v>153064.51612903224</c:v>
                </c:pt>
                <c:pt idx="20">
                  <c:v>160717.74193548388</c:v>
                </c:pt>
                <c:pt idx="21">
                  <c:v>168370.96774193548</c:v>
                </c:pt>
                <c:pt idx="22">
                  <c:v>176024.19354838709</c:v>
                </c:pt>
                <c:pt idx="23">
                  <c:v>183677.4193548387</c:v>
                </c:pt>
                <c:pt idx="24">
                  <c:v>191330.6451612903</c:v>
                </c:pt>
                <c:pt idx="25">
                  <c:v>198983.87096774194</c:v>
                </c:pt>
                <c:pt idx="26">
                  <c:v>206637.09677419355</c:v>
                </c:pt>
                <c:pt idx="27">
                  <c:v>214290.32258064515</c:v>
                </c:pt>
                <c:pt idx="28">
                  <c:v>221943.54838709676</c:v>
                </c:pt>
                <c:pt idx="29">
                  <c:v>229596.77419354839</c:v>
                </c:pt>
                <c:pt idx="30">
                  <c:v>237250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A1-48A2-AB54-A08DD93A8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Tanggal</a:t>
                </a:r>
              </a:p>
            </c:rich>
          </c:tx>
          <c:overlay val="1"/>
        </c:title>
        <c:numFmt formatCode="General" sourceLinked="1"/>
        <c:majorTickMark val="out"/>
        <c:minorTickMark val="none"/>
        <c:tickLblPos val="low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Rupiah</a:t>
                </a:r>
              </a:p>
            </c:rich>
          </c:tx>
          <c:overlay val="1"/>
        </c:title>
        <c:numFmt formatCode="#,##0" sourceLinked="0"/>
        <c:majorTickMark val="out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2E7D32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D3F-4330-9DAB-0F6AC860D1CC}"/>
              </c:ext>
            </c:extLst>
          </c:dPt>
          <c:dPt>
            <c:idx val="1"/>
            <c:bubble3D val="0"/>
            <c:spPr>
              <a:solidFill>
                <a:srgbClr val="C62828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D3F-4330-9DAB-0F6AC860D1CC}"/>
              </c:ext>
            </c:extLst>
          </c:dPt>
          <c:cat>
            <c:strRef>
              <c:f>June!$C$2:$C$3</c:f>
              <c:strCache>
                <c:ptCount val="2"/>
                <c:pt idx="0">
                  <c:v>Total Pemasukkan</c:v>
                </c:pt>
                <c:pt idx="1">
                  <c:v>Total Pengeluaran</c:v>
                </c:pt>
              </c:strCache>
            </c:strRef>
          </c:cat>
          <c:val>
            <c:numRef>
              <c:f>June!$D$2:$D$3</c:f>
              <c:numCache>
                <c:formatCode>[$IDR]\ 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3F-4330-9DAB-0F6AC860D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Belanja kumulatif harian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June!$AH$1</c:f>
              <c:strCache>
                <c:ptCount val="1"/>
                <c:pt idx="0">
                  <c:v>Belanja kumulatif</c:v>
                </c:pt>
              </c:strCache>
            </c:strRef>
          </c:tx>
          <c:spPr>
            <a:ln w="22000">
              <a:solidFill>
                <a:srgbClr val="1F4E79"/>
              </a:solidFill>
              <a:prstDash val="solid"/>
            </a:ln>
          </c:spPr>
          <c:marker>
            <c:symbol val="none"/>
          </c:marker>
          <c:cat>
            <c:numRef>
              <c:f>June!$AF$2:$AF$32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June!$AH$2:$AH$32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5D-41CA-9333-D939394864F5}"/>
            </c:ext>
          </c:extLst>
        </c:ser>
        <c:ser>
          <c:idx val="1"/>
          <c:order val="1"/>
          <c:tx>
            <c:strRef>
              <c:f>June!$AI$1</c:f>
              <c:strCache>
                <c:ptCount val="1"/>
                <c:pt idx="0">
                  <c:v>Laju rata-rata bulanan</c:v>
                </c:pt>
              </c:strCache>
            </c:strRef>
          </c:tx>
          <c:spPr>
            <a:ln w="15000">
              <a:solidFill>
                <a:srgbClr val="A6A6A6"/>
              </a:solidFill>
              <a:prstDash val="dash"/>
            </a:ln>
          </c:spPr>
          <c:marker>
            <c:symbol val="none"/>
          </c:marker>
          <c:cat>
            <c:numRef>
              <c:f>June!$AF$2:$AF$32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June!$AI$2:$AI$32</c:f>
              <c:numCache>
                <c:formatCode>General</c:formatCode>
                <c:ptCount val="31"/>
                <c:pt idx="0">
                  <c:v>7908.333333333333</c:v>
                </c:pt>
                <c:pt idx="1">
                  <c:v>15816.666666666666</c:v>
                </c:pt>
                <c:pt idx="2">
                  <c:v>23725</c:v>
                </c:pt>
                <c:pt idx="3">
                  <c:v>31633.333333333332</c:v>
                </c:pt>
                <c:pt idx="4">
                  <c:v>39541.666666666664</c:v>
                </c:pt>
                <c:pt idx="5">
                  <c:v>47450</c:v>
                </c:pt>
                <c:pt idx="6">
                  <c:v>55358.333333333328</c:v>
                </c:pt>
                <c:pt idx="7">
                  <c:v>63266.666666666664</c:v>
                </c:pt>
                <c:pt idx="8">
                  <c:v>71175</c:v>
                </c:pt>
                <c:pt idx="9">
                  <c:v>79083.333333333328</c:v>
                </c:pt>
                <c:pt idx="10">
                  <c:v>86991.666666666657</c:v>
                </c:pt>
                <c:pt idx="11">
                  <c:v>94900</c:v>
                </c:pt>
                <c:pt idx="12">
                  <c:v>102808.33333333333</c:v>
                </c:pt>
                <c:pt idx="13">
                  <c:v>110716.66666666666</c:v>
                </c:pt>
                <c:pt idx="14">
                  <c:v>118625</c:v>
                </c:pt>
                <c:pt idx="15">
                  <c:v>126533.33333333333</c:v>
                </c:pt>
                <c:pt idx="16">
                  <c:v>134441.66666666666</c:v>
                </c:pt>
                <c:pt idx="17">
                  <c:v>142350</c:v>
                </c:pt>
                <c:pt idx="18">
                  <c:v>150258.33333333331</c:v>
                </c:pt>
                <c:pt idx="19">
                  <c:v>158166.66666666666</c:v>
                </c:pt>
                <c:pt idx="20">
                  <c:v>166075</c:v>
                </c:pt>
                <c:pt idx="21">
                  <c:v>173983.33333333331</c:v>
                </c:pt>
                <c:pt idx="22">
                  <c:v>181891.66666666666</c:v>
                </c:pt>
                <c:pt idx="23">
                  <c:v>189800</c:v>
                </c:pt>
                <c:pt idx="24">
                  <c:v>197708.33333333331</c:v>
                </c:pt>
                <c:pt idx="25">
                  <c:v>205616.66666666666</c:v>
                </c:pt>
                <c:pt idx="26">
                  <c:v>213525</c:v>
                </c:pt>
                <c:pt idx="27">
                  <c:v>221433.33333333331</c:v>
                </c:pt>
                <c:pt idx="28">
                  <c:v>229341.66666666666</c:v>
                </c:pt>
                <c:pt idx="29">
                  <c:v>237250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5D-41CA-9333-D939394864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Tanggal</a:t>
                </a:r>
              </a:p>
            </c:rich>
          </c:tx>
          <c:overlay val="1"/>
        </c:title>
        <c:numFmt formatCode="General" sourceLinked="1"/>
        <c:majorTickMark val="out"/>
        <c:minorTickMark val="none"/>
        <c:tickLblPos val="low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Rupiah</a:t>
                </a:r>
              </a:p>
            </c:rich>
          </c:tx>
          <c:overlay val="1"/>
        </c:title>
        <c:numFmt formatCode="#,##0" sourceLinked="0"/>
        <c:majorTickMark val="out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2E7D32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534-4C71-BAF0-6497DCDD6061}"/>
              </c:ext>
            </c:extLst>
          </c:dPt>
          <c:dPt>
            <c:idx val="1"/>
            <c:bubble3D val="0"/>
            <c:spPr>
              <a:solidFill>
                <a:srgbClr val="C62828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534-4C71-BAF0-6497DCDD6061}"/>
              </c:ext>
            </c:extLst>
          </c:dPt>
          <c:cat>
            <c:strRef>
              <c:f>July!$C$2:$C$3</c:f>
              <c:strCache>
                <c:ptCount val="2"/>
                <c:pt idx="0">
                  <c:v>Total Pemasukkan</c:v>
                </c:pt>
                <c:pt idx="1">
                  <c:v>Total Pengeluaran</c:v>
                </c:pt>
              </c:strCache>
            </c:strRef>
          </c:cat>
          <c:val>
            <c:numRef>
              <c:f>July!$D$2:$D$3</c:f>
              <c:numCache>
                <c:formatCode>[$IDR]\ 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534-4C71-BAF0-6497DCDD6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Belanja kumulatif harian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July!$AH$1</c:f>
              <c:strCache>
                <c:ptCount val="1"/>
                <c:pt idx="0">
                  <c:v>Belanja kumulatif</c:v>
                </c:pt>
              </c:strCache>
            </c:strRef>
          </c:tx>
          <c:spPr>
            <a:ln w="22000">
              <a:solidFill>
                <a:srgbClr val="1F4E79"/>
              </a:solidFill>
              <a:prstDash val="solid"/>
            </a:ln>
          </c:spPr>
          <c:marker>
            <c:symbol val="none"/>
          </c:marker>
          <c:cat>
            <c:numRef>
              <c:f>July!$AF$2:$AF$32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July!$AH$2:$AH$32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C5-43E6-8077-53028710D193}"/>
            </c:ext>
          </c:extLst>
        </c:ser>
        <c:ser>
          <c:idx val="1"/>
          <c:order val="1"/>
          <c:tx>
            <c:strRef>
              <c:f>July!$AI$1</c:f>
              <c:strCache>
                <c:ptCount val="1"/>
                <c:pt idx="0">
                  <c:v>Laju rata-rata bulanan</c:v>
                </c:pt>
              </c:strCache>
            </c:strRef>
          </c:tx>
          <c:spPr>
            <a:ln w="15000">
              <a:solidFill>
                <a:srgbClr val="A6A6A6"/>
              </a:solidFill>
              <a:prstDash val="dash"/>
            </a:ln>
          </c:spPr>
          <c:marker>
            <c:symbol val="none"/>
          </c:marker>
          <c:cat>
            <c:numRef>
              <c:f>July!$AF$2:$AF$32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July!$AI$2:$AI$32</c:f>
              <c:numCache>
                <c:formatCode>General</c:formatCode>
                <c:ptCount val="31"/>
                <c:pt idx="0">
                  <c:v>7653.2258064516127</c:v>
                </c:pt>
                <c:pt idx="1">
                  <c:v>15306.451612903225</c:v>
                </c:pt>
                <c:pt idx="2">
                  <c:v>22959.677419354837</c:v>
                </c:pt>
                <c:pt idx="3">
                  <c:v>30612.903225806451</c:v>
                </c:pt>
                <c:pt idx="4">
                  <c:v>38266.129032258061</c:v>
                </c:pt>
                <c:pt idx="5">
                  <c:v>45919.354838709674</c:v>
                </c:pt>
                <c:pt idx="6">
                  <c:v>53572.580645161288</c:v>
                </c:pt>
                <c:pt idx="7">
                  <c:v>61225.806451612902</c:v>
                </c:pt>
                <c:pt idx="8">
                  <c:v>68879.032258064515</c:v>
                </c:pt>
                <c:pt idx="9">
                  <c:v>76532.258064516122</c:v>
                </c:pt>
                <c:pt idx="10">
                  <c:v>84185.483870967742</c:v>
                </c:pt>
                <c:pt idx="11">
                  <c:v>91838.709677419349</c:v>
                </c:pt>
                <c:pt idx="12">
                  <c:v>99491.93548387097</c:v>
                </c:pt>
                <c:pt idx="13">
                  <c:v>107145.16129032258</c:v>
                </c:pt>
                <c:pt idx="14">
                  <c:v>114798.3870967742</c:v>
                </c:pt>
                <c:pt idx="15">
                  <c:v>122451.6129032258</c:v>
                </c:pt>
                <c:pt idx="16">
                  <c:v>130104.83870967741</c:v>
                </c:pt>
                <c:pt idx="17">
                  <c:v>137758.06451612903</c:v>
                </c:pt>
                <c:pt idx="18">
                  <c:v>145411.29032258064</c:v>
                </c:pt>
                <c:pt idx="19">
                  <c:v>153064.51612903224</c:v>
                </c:pt>
                <c:pt idx="20">
                  <c:v>160717.74193548388</c:v>
                </c:pt>
                <c:pt idx="21">
                  <c:v>168370.96774193548</c:v>
                </c:pt>
                <c:pt idx="22">
                  <c:v>176024.19354838709</c:v>
                </c:pt>
                <c:pt idx="23">
                  <c:v>183677.4193548387</c:v>
                </c:pt>
                <c:pt idx="24">
                  <c:v>191330.6451612903</c:v>
                </c:pt>
                <c:pt idx="25">
                  <c:v>198983.87096774194</c:v>
                </c:pt>
                <c:pt idx="26">
                  <c:v>206637.09677419355</c:v>
                </c:pt>
                <c:pt idx="27">
                  <c:v>214290.32258064515</c:v>
                </c:pt>
                <c:pt idx="28">
                  <c:v>221943.54838709676</c:v>
                </c:pt>
                <c:pt idx="29">
                  <c:v>229596.77419354839</c:v>
                </c:pt>
                <c:pt idx="30">
                  <c:v>237250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C5-43E6-8077-53028710D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Tanggal</a:t>
                </a:r>
              </a:p>
            </c:rich>
          </c:tx>
          <c:overlay val="1"/>
        </c:title>
        <c:numFmt formatCode="General" sourceLinked="1"/>
        <c:majorTickMark val="out"/>
        <c:minorTickMark val="none"/>
        <c:tickLblPos val="low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Rupiah</a:t>
                </a:r>
              </a:p>
            </c:rich>
          </c:tx>
          <c:overlay val="1"/>
        </c:title>
        <c:numFmt formatCode="#,##0" sourceLinked="0"/>
        <c:majorTickMark val="out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2E7D32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668-43EB-89AA-C7EB18A029B6}"/>
              </c:ext>
            </c:extLst>
          </c:dPt>
          <c:dPt>
            <c:idx val="1"/>
            <c:bubble3D val="0"/>
            <c:spPr>
              <a:solidFill>
                <a:srgbClr val="C62828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668-43EB-89AA-C7EB18A029B6}"/>
              </c:ext>
            </c:extLst>
          </c:dPt>
          <c:cat>
            <c:strRef>
              <c:f>Aug!$C$2:$C$3</c:f>
              <c:strCache>
                <c:ptCount val="2"/>
                <c:pt idx="0">
                  <c:v>Total Pemasukkan</c:v>
                </c:pt>
                <c:pt idx="1">
                  <c:v>Total Pengeluaran</c:v>
                </c:pt>
              </c:strCache>
            </c:strRef>
          </c:cat>
          <c:val>
            <c:numRef>
              <c:f>Aug!$D$2:$D$3</c:f>
              <c:numCache>
                <c:formatCode>[$IDR]\ 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68-43EB-89AA-C7EB18A02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Belanja kumulatif harian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Aug!$AH$1</c:f>
              <c:strCache>
                <c:ptCount val="1"/>
                <c:pt idx="0">
                  <c:v>Belanja kumulatif</c:v>
                </c:pt>
              </c:strCache>
            </c:strRef>
          </c:tx>
          <c:spPr>
            <a:ln w="22000">
              <a:solidFill>
                <a:srgbClr val="1F4E79"/>
              </a:solidFill>
              <a:prstDash val="solid"/>
            </a:ln>
          </c:spPr>
          <c:marker>
            <c:symbol val="none"/>
          </c:marker>
          <c:cat>
            <c:numRef>
              <c:f>Aug!$AF$2:$AF$32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Aug!$AH$2:$AH$32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84-4049-B8A6-CC80FFE4A98D}"/>
            </c:ext>
          </c:extLst>
        </c:ser>
        <c:ser>
          <c:idx val="1"/>
          <c:order val="1"/>
          <c:tx>
            <c:strRef>
              <c:f>Aug!$AI$1</c:f>
              <c:strCache>
                <c:ptCount val="1"/>
                <c:pt idx="0">
                  <c:v>Laju rata-rata bulanan</c:v>
                </c:pt>
              </c:strCache>
            </c:strRef>
          </c:tx>
          <c:spPr>
            <a:ln w="15000">
              <a:solidFill>
                <a:srgbClr val="A6A6A6"/>
              </a:solidFill>
              <a:prstDash val="dash"/>
            </a:ln>
          </c:spPr>
          <c:marker>
            <c:symbol val="none"/>
          </c:marker>
          <c:cat>
            <c:numRef>
              <c:f>Aug!$AF$2:$AF$32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Aug!$AI$2:$AI$32</c:f>
              <c:numCache>
                <c:formatCode>General</c:formatCode>
                <c:ptCount val="31"/>
                <c:pt idx="0">
                  <c:v>7653.2258064516127</c:v>
                </c:pt>
                <c:pt idx="1">
                  <c:v>15306.451612903225</c:v>
                </c:pt>
                <c:pt idx="2">
                  <c:v>22959.677419354837</c:v>
                </c:pt>
                <c:pt idx="3">
                  <c:v>30612.903225806451</c:v>
                </c:pt>
                <c:pt idx="4">
                  <c:v>38266.129032258061</c:v>
                </c:pt>
                <c:pt idx="5">
                  <c:v>45919.354838709674</c:v>
                </c:pt>
                <c:pt idx="6">
                  <c:v>53572.580645161288</c:v>
                </c:pt>
                <c:pt idx="7">
                  <c:v>61225.806451612902</c:v>
                </c:pt>
                <c:pt idx="8">
                  <c:v>68879.032258064515</c:v>
                </c:pt>
                <c:pt idx="9">
                  <c:v>76532.258064516122</c:v>
                </c:pt>
                <c:pt idx="10">
                  <c:v>84185.483870967742</c:v>
                </c:pt>
                <c:pt idx="11">
                  <c:v>91838.709677419349</c:v>
                </c:pt>
                <c:pt idx="12">
                  <c:v>99491.93548387097</c:v>
                </c:pt>
                <c:pt idx="13">
                  <c:v>107145.16129032258</c:v>
                </c:pt>
                <c:pt idx="14">
                  <c:v>114798.3870967742</c:v>
                </c:pt>
                <c:pt idx="15">
                  <c:v>122451.6129032258</c:v>
                </c:pt>
                <c:pt idx="16">
                  <c:v>130104.83870967741</c:v>
                </c:pt>
                <c:pt idx="17">
                  <c:v>137758.06451612903</c:v>
                </c:pt>
                <c:pt idx="18">
                  <c:v>145411.29032258064</c:v>
                </c:pt>
                <c:pt idx="19">
                  <c:v>153064.51612903224</c:v>
                </c:pt>
                <c:pt idx="20">
                  <c:v>160717.74193548388</c:v>
                </c:pt>
                <c:pt idx="21">
                  <c:v>168370.96774193548</c:v>
                </c:pt>
                <c:pt idx="22">
                  <c:v>176024.19354838709</c:v>
                </c:pt>
                <c:pt idx="23">
                  <c:v>183677.4193548387</c:v>
                </c:pt>
                <c:pt idx="24">
                  <c:v>191330.6451612903</c:v>
                </c:pt>
                <c:pt idx="25">
                  <c:v>198983.87096774194</c:v>
                </c:pt>
                <c:pt idx="26">
                  <c:v>206637.09677419355</c:v>
                </c:pt>
                <c:pt idx="27">
                  <c:v>214290.32258064515</c:v>
                </c:pt>
                <c:pt idx="28">
                  <c:v>221943.54838709676</c:v>
                </c:pt>
                <c:pt idx="29">
                  <c:v>229596.77419354839</c:v>
                </c:pt>
                <c:pt idx="30">
                  <c:v>237250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84-4049-B8A6-CC80FFE4A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Tanggal</a:t>
                </a:r>
              </a:p>
            </c:rich>
          </c:tx>
          <c:overlay val="1"/>
        </c:title>
        <c:numFmt formatCode="General" sourceLinked="1"/>
        <c:majorTickMark val="out"/>
        <c:minorTickMark val="none"/>
        <c:tickLblPos val="low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Rupiah</a:t>
                </a:r>
              </a:p>
            </c:rich>
          </c:tx>
          <c:overlay val="1"/>
        </c:title>
        <c:numFmt formatCode="#,##0" sourceLinked="0"/>
        <c:majorTickMark val="out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2E7D32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B851-4D0C-8F32-753B62CC508C}"/>
              </c:ext>
            </c:extLst>
          </c:dPt>
          <c:dPt>
            <c:idx val="1"/>
            <c:bubble3D val="0"/>
            <c:spPr>
              <a:solidFill>
                <a:srgbClr val="C62828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B851-4D0C-8F32-753B62CC508C}"/>
              </c:ext>
            </c:extLst>
          </c:dPt>
          <c:cat>
            <c:strRef>
              <c:f>Sep!$C$2:$C$3</c:f>
              <c:strCache>
                <c:ptCount val="2"/>
                <c:pt idx="0">
                  <c:v>Total Pemasukkan</c:v>
                </c:pt>
                <c:pt idx="1">
                  <c:v>Total Pengeluaran</c:v>
                </c:pt>
              </c:strCache>
            </c:strRef>
          </c:cat>
          <c:val>
            <c:numRef>
              <c:f>Sep!$D$2:$D$3</c:f>
              <c:numCache>
                <c:formatCode>[$IDR]\ #,##0</c:formatCode>
                <c:ptCount val="2"/>
                <c:pt idx="0">
                  <c:v>0</c:v>
                </c:pt>
                <c:pt idx="1">
                  <c:v>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51-4D0C-8F32-753B62CC5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Belanja kumulatif harian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Sep!$AH$1</c:f>
              <c:strCache>
                <c:ptCount val="1"/>
                <c:pt idx="0">
                  <c:v>Belanja kumulatif</c:v>
                </c:pt>
              </c:strCache>
            </c:strRef>
          </c:tx>
          <c:spPr>
            <a:ln w="22000">
              <a:solidFill>
                <a:srgbClr val="1F4E79"/>
              </a:solidFill>
              <a:prstDash val="solid"/>
            </a:ln>
          </c:spPr>
          <c:marker>
            <c:symbol val="none"/>
          </c:marker>
          <c:cat>
            <c:numRef>
              <c:f>Sep!$AF$2:$AF$32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Sep!$AH$2:$AH$32</c:f>
              <c:numCache>
                <c:formatCode>General</c:formatCode>
                <c:ptCount val="31"/>
                <c:pt idx="0">
                  <c:v>320000</c:v>
                </c:pt>
                <c:pt idx="1">
                  <c:v>320000</c:v>
                </c:pt>
                <c:pt idx="2">
                  <c:v>320000</c:v>
                </c:pt>
                <c:pt idx="3">
                  <c:v>320000</c:v>
                </c:pt>
                <c:pt idx="4">
                  <c:v>320000</c:v>
                </c:pt>
                <c:pt idx="5">
                  <c:v>320000</c:v>
                </c:pt>
                <c:pt idx="6">
                  <c:v>320000</c:v>
                </c:pt>
                <c:pt idx="7">
                  <c:v>320000</c:v>
                </c:pt>
                <c:pt idx="8">
                  <c:v>320000</c:v>
                </c:pt>
                <c:pt idx="9">
                  <c:v>320000</c:v>
                </c:pt>
                <c:pt idx="10">
                  <c:v>320000</c:v>
                </c:pt>
                <c:pt idx="11">
                  <c:v>320000</c:v>
                </c:pt>
                <c:pt idx="12">
                  <c:v>320000</c:v>
                </c:pt>
                <c:pt idx="13">
                  <c:v>320000</c:v>
                </c:pt>
                <c:pt idx="14">
                  <c:v>400000</c:v>
                </c:pt>
                <c:pt idx="15">
                  <c:v>400000</c:v>
                </c:pt>
                <c:pt idx="16">
                  <c:v>400000</c:v>
                </c:pt>
                <c:pt idx="17">
                  <c:v>400000</c:v>
                </c:pt>
                <c:pt idx="18">
                  <c:v>400000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86-4DF4-9BEE-287CB16A34DE}"/>
            </c:ext>
          </c:extLst>
        </c:ser>
        <c:ser>
          <c:idx val="1"/>
          <c:order val="1"/>
          <c:tx>
            <c:strRef>
              <c:f>Sep!$AI$1</c:f>
              <c:strCache>
                <c:ptCount val="1"/>
                <c:pt idx="0">
                  <c:v>Laju rata-rata bulanan</c:v>
                </c:pt>
              </c:strCache>
            </c:strRef>
          </c:tx>
          <c:spPr>
            <a:ln w="15000">
              <a:solidFill>
                <a:srgbClr val="A6A6A6"/>
              </a:solidFill>
              <a:prstDash val="dash"/>
            </a:ln>
          </c:spPr>
          <c:marker>
            <c:symbol val="none"/>
          </c:marker>
          <c:cat>
            <c:numRef>
              <c:f>Sep!$AF$2:$AF$32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Sep!$AI$2:$AI$32</c:f>
              <c:numCache>
                <c:formatCode>General</c:formatCode>
                <c:ptCount val="31"/>
                <c:pt idx="0">
                  <c:v>7908.333333333333</c:v>
                </c:pt>
                <c:pt idx="1">
                  <c:v>15816.666666666666</c:v>
                </c:pt>
                <c:pt idx="2">
                  <c:v>23725</c:v>
                </c:pt>
                <c:pt idx="3">
                  <c:v>31633.333333333332</c:v>
                </c:pt>
                <c:pt idx="4">
                  <c:v>39541.666666666664</c:v>
                </c:pt>
                <c:pt idx="5">
                  <c:v>47450</c:v>
                </c:pt>
                <c:pt idx="6">
                  <c:v>55358.333333333328</c:v>
                </c:pt>
                <c:pt idx="7">
                  <c:v>63266.666666666664</c:v>
                </c:pt>
                <c:pt idx="8">
                  <c:v>71175</c:v>
                </c:pt>
                <c:pt idx="9">
                  <c:v>79083.333333333328</c:v>
                </c:pt>
                <c:pt idx="10">
                  <c:v>86991.666666666657</c:v>
                </c:pt>
                <c:pt idx="11">
                  <c:v>94900</c:v>
                </c:pt>
                <c:pt idx="12">
                  <c:v>102808.33333333333</c:v>
                </c:pt>
                <c:pt idx="13">
                  <c:v>110716.66666666666</c:v>
                </c:pt>
                <c:pt idx="14">
                  <c:v>118625</c:v>
                </c:pt>
                <c:pt idx="15">
                  <c:v>126533.33333333333</c:v>
                </c:pt>
                <c:pt idx="16">
                  <c:v>134441.66666666666</c:v>
                </c:pt>
                <c:pt idx="17">
                  <c:v>142350</c:v>
                </c:pt>
                <c:pt idx="18">
                  <c:v>150258.33333333331</c:v>
                </c:pt>
                <c:pt idx="19">
                  <c:v>158166.66666666666</c:v>
                </c:pt>
                <c:pt idx="20">
                  <c:v>166075</c:v>
                </c:pt>
                <c:pt idx="21">
                  <c:v>173983.33333333331</c:v>
                </c:pt>
                <c:pt idx="22">
                  <c:v>181891.66666666666</c:v>
                </c:pt>
                <c:pt idx="23">
                  <c:v>189800</c:v>
                </c:pt>
                <c:pt idx="24">
                  <c:v>197708.33333333331</c:v>
                </c:pt>
                <c:pt idx="25">
                  <c:v>205616.66666666666</c:v>
                </c:pt>
                <c:pt idx="26">
                  <c:v>213525</c:v>
                </c:pt>
                <c:pt idx="27">
                  <c:v>221433.33333333331</c:v>
                </c:pt>
                <c:pt idx="28">
                  <c:v>229341.66666666666</c:v>
                </c:pt>
                <c:pt idx="29">
                  <c:v>237250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86-4DF4-9BEE-287CB16A3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Tanggal</a:t>
                </a:r>
              </a:p>
            </c:rich>
          </c:tx>
          <c:overlay val="1"/>
        </c:title>
        <c:numFmt formatCode="General" sourceLinked="1"/>
        <c:majorTickMark val="out"/>
        <c:minorTickMark val="none"/>
        <c:tickLblPos val="low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Rupiah</a:t>
                </a:r>
              </a:p>
            </c:rich>
          </c:tx>
          <c:overlay val="1"/>
        </c:title>
        <c:numFmt formatCode="#,##0" sourceLinked="0"/>
        <c:majorTickMark val="out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2E7D32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7DE-4032-B160-BD993C21E7ED}"/>
              </c:ext>
            </c:extLst>
          </c:dPt>
          <c:dPt>
            <c:idx val="1"/>
            <c:bubble3D val="0"/>
            <c:spPr>
              <a:solidFill>
                <a:srgbClr val="C62828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7DE-4032-B160-BD993C21E7ED}"/>
              </c:ext>
            </c:extLst>
          </c:dPt>
          <c:cat>
            <c:strRef>
              <c:f>Okt!$C$2:$C$3</c:f>
              <c:strCache>
                <c:ptCount val="2"/>
                <c:pt idx="0">
                  <c:v>Total Pemasukkan</c:v>
                </c:pt>
                <c:pt idx="1">
                  <c:v>Total Pengeluaran</c:v>
                </c:pt>
              </c:strCache>
            </c:strRef>
          </c:cat>
          <c:val>
            <c:numRef>
              <c:f>Okt!$D$2:$D$3</c:f>
              <c:numCache>
                <c:formatCode>[$IDR]\ 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DE-4032-B160-BD993C21E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Belanja kumulatif harian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Okt!$AH$1</c:f>
              <c:strCache>
                <c:ptCount val="1"/>
                <c:pt idx="0">
                  <c:v>Belanja kumulatif</c:v>
                </c:pt>
              </c:strCache>
            </c:strRef>
          </c:tx>
          <c:spPr>
            <a:ln w="22000">
              <a:solidFill>
                <a:srgbClr val="1F4E79"/>
              </a:solidFill>
              <a:prstDash val="solid"/>
            </a:ln>
          </c:spPr>
          <c:marker>
            <c:symbol val="none"/>
          </c:marker>
          <c:cat>
            <c:numRef>
              <c:f>Okt!$AF$2:$AF$32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Okt!$AH$2:$AH$32</c:f>
              <c:numCache>
                <c:formatCode>General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8F-429A-9078-F9D5C7D8D23F}"/>
            </c:ext>
          </c:extLst>
        </c:ser>
        <c:ser>
          <c:idx val="1"/>
          <c:order val="1"/>
          <c:tx>
            <c:strRef>
              <c:f>Okt!$AI$1</c:f>
              <c:strCache>
                <c:ptCount val="1"/>
                <c:pt idx="0">
                  <c:v>Laju rata-rata bulanan</c:v>
                </c:pt>
              </c:strCache>
            </c:strRef>
          </c:tx>
          <c:spPr>
            <a:ln w="15000">
              <a:solidFill>
                <a:srgbClr val="A6A6A6"/>
              </a:solidFill>
              <a:prstDash val="dash"/>
            </a:ln>
          </c:spPr>
          <c:marker>
            <c:symbol val="none"/>
          </c:marker>
          <c:cat>
            <c:numRef>
              <c:f>Okt!$AF$2:$AF$32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Okt!$AI$2:$AI$32</c:f>
              <c:numCache>
                <c:formatCode>General</c:formatCode>
                <c:ptCount val="31"/>
                <c:pt idx="0">
                  <c:v>7653.2258064516127</c:v>
                </c:pt>
                <c:pt idx="1">
                  <c:v>15306.451612903225</c:v>
                </c:pt>
                <c:pt idx="2">
                  <c:v>22959.677419354837</c:v>
                </c:pt>
                <c:pt idx="3">
                  <c:v>30612.903225806451</c:v>
                </c:pt>
                <c:pt idx="4">
                  <c:v>38266.129032258061</c:v>
                </c:pt>
                <c:pt idx="5">
                  <c:v>45919.354838709674</c:v>
                </c:pt>
                <c:pt idx="6">
                  <c:v>53572.580645161288</c:v>
                </c:pt>
                <c:pt idx="7">
                  <c:v>61225.806451612902</c:v>
                </c:pt>
                <c:pt idx="8">
                  <c:v>68879.032258064515</c:v>
                </c:pt>
                <c:pt idx="9">
                  <c:v>76532.258064516122</c:v>
                </c:pt>
                <c:pt idx="10">
                  <c:v>84185.483870967742</c:v>
                </c:pt>
                <c:pt idx="11">
                  <c:v>91838.709677419349</c:v>
                </c:pt>
                <c:pt idx="12">
                  <c:v>99491.93548387097</c:v>
                </c:pt>
                <c:pt idx="13">
                  <c:v>107145.16129032258</c:v>
                </c:pt>
                <c:pt idx="14">
                  <c:v>114798.3870967742</c:v>
                </c:pt>
                <c:pt idx="15">
                  <c:v>122451.6129032258</c:v>
                </c:pt>
                <c:pt idx="16">
                  <c:v>130104.83870967741</c:v>
                </c:pt>
                <c:pt idx="17">
                  <c:v>137758.06451612903</c:v>
                </c:pt>
                <c:pt idx="18">
                  <c:v>145411.29032258064</c:v>
                </c:pt>
                <c:pt idx="19">
                  <c:v>153064.51612903224</c:v>
                </c:pt>
                <c:pt idx="20">
                  <c:v>160717.74193548388</c:v>
                </c:pt>
                <c:pt idx="21">
                  <c:v>168370.96774193548</c:v>
                </c:pt>
                <c:pt idx="22">
                  <c:v>176024.19354838709</c:v>
                </c:pt>
                <c:pt idx="23">
                  <c:v>183677.4193548387</c:v>
                </c:pt>
                <c:pt idx="24">
                  <c:v>191330.6451612903</c:v>
                </c:pt>
                <c:pt idx="25">
                  <c:v>198983.87096774194</c:v>
                </c:pt>
                <c:pt idx="26">
                  <c:v>206637.09677419355</c:v>
                </c:pt>
                <c:pt idx="27">
                  <c:v>214290.32258064515</c:v>
                </c:pt>
                <c:pt idx="28">
                  <c:v>221943.54838709676</c:v>
                </c:pt>
                <c:pt idx="29">
                  <c:v>229596.77419354839</c:v>
                </c:pt>
                <c:pt idx="30">
                  <c:v>237250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8F-429A-9078-F9D5C7D8D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Tanggal</a:t>
                </a:r>
              </a:p>
            </c:rich>
          </c:tx>
          <c:overlay val="1"/>
        </c:title>
        <c:numFmt formatCode="General" sourceLinked="1"/>
        <c:majorTickMark val="out"/>
        <c:minorTickMark val="none"/>
        <c:tickLblPos val="low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Rupiah</a:t>
                </a:r>
              </a:p>
            </c:rich>
          </c:tx>
          <c:overlay val="1"/>
        </c:title>
        <c:numFmt formatCode="#,##0" sourceLinked="0"/>
        <c:majorTickMark val="out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2E7D32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BB43-4058-B027-5EA77F495887}"/>
              </c:ext>
            </c:extLst>
          </c:dPt>
          <c:dPt>
            <c:idx val="1"/>
            <c:bubble3D val="0"/>
            <c:spPr>
              <a:solidFill>
                <a:srgbClr val="C62828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BB43-4058-B027-5EA77F495887}"/>
              </c:ext>
            </c:extLst>
          </c:dPt>
          <c:cat>
            <c:strRef>
              <c:f>Nov!$C$2:$C$3</c:f>
              <c:strCache>
                <c:ptCount val="2"/>
                <c:pt idx="0">
                  <c:v>Total Pemasukkan</c:v>
                </c:pt>
                <c:pt idx="1">
                  <c:v>Total Pengeluaran</c:v>
                </c:pt>
              </c:strCache>
            </c:strRef>
          </c:cat>
          <c:val>
            <c:numRef>
              <c:f>Nov!$D$2:$D$3</c:f>
              <c:numCache>
                <c:formatCode>[$IDR]\ 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43-4058-B027-5EA77F495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Belanja kumulatif harian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Nov!$AH$1</c:f>
              <c:strCache>
                <c:ptCount val="1"/>
                <c:pt idx="0">
                  <c:v>Belanja kumulatif</c:v>
                </c:pt>
              </c:strCache>
            </c:strRef>
          </c:tx>
          <c:spPr>
            <a:ln w="22000">
              <a:solidFill>
                <a:srgbClr val="1F4E79"/>
              </a:solidFill>
              <a:prstDash val="solid"/>
            </a:ln>
          </c:spPr>
          <c:marker>
            <c:symbol val="none"/>
          </c:marker>
          <c:cat>
            <c:numRef>
              <c:f>Nov!$AF$2:$AF$32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Nov!$AH$2:$AH$32</c:f>
              <c:numCache>
                <c:formatCode>General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BB-4F1F-B0E5-F54579A56AE6}"/>
            </c:ext>
          </c:extLst>
        </c:ser>
        <c:ser>
          <c:idx val="1"/>
          <c:order val="1"/>
          <c:tx>
            <c:strRef>
              <c:f>Nov!$AI$1</c:f>
              <c:strCache>
                <c:ptCount val="1"/>
                <c:pt idx="0">
                  <c:v>Laju rata-rata bulanan</c:v>
                </c:pt>
              </c:strCache>
            </c:strRef>
          </c:tx>
          <c:spPr>
            <a:ln w="15000">
              <a:solidFill>
                <a:srgbClr val="A6A6A6"/>
              </a:solidFill>
              <a:prstDash val="dash"/>
            </a:ln>
          </c:spPr>
          <c:marker>
            <c:symbol val="none"/>
          </c:marker>
          <c:cat>
            <c:numRef>
              <c:f>Nov!$AF$2:$AF$32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Nov!$AI$2:$AI$32</c:f>
              <c:numCache>
                <c:formatCode>General</c:formatCode>
                <c:ptCount val="31"/>
                <c:pt idx="0">
                  <c:v>7908.333333333333</c:v>
                </c:pt>
                <c:pt idx="1">
                  <c:v>15816.666666666666</c:v>
                </c:pt>
                <c:pt idx="2">
                  <c:v>23725</c:v>
                </c:pt>
                <c:pt idx="3">
                  <c:v>31633.333333333332</c:v>
                </c:pt>
                <c:pt idx="4">
                  <c:v>39541.666666666664</c:v>
                </c:pt>
                <c:pt idx="5">
                  <c:v>47450</c:v>
                </c:pt>
                <c:pt idx="6">
                  <c:v>55358.333333333328</c:v>
                </c:pt>
                <c:pt idx="7">
                  <c:v>63266.666666666664</c:v>
                </c:pt>
                <c:pt idx="8">
                  <c:v>71175</c:v>
                </c:pt>
                <c:pt idx="9">
                  <c:v>79083.333333333328</c:v>
                </c:pt>
                <c:pt idx="10">
                  <c:v>86991.666666666657</c:v>
                </c:pt>
                <c:pt idx="11">
                  <c:v>94900</c:v>
                </c:pt>
                <c:pt idx="12">
                  <c:v>102808.33333333333</c:v>
                </c:pt>
                <c:pt idx="13">
                  <c:v>110716.66666666666</c:v>
                </c:pt>
                <c:pt idx="14">
                  <c:v>118625</c:v>
                </c:pt>
                <c:pt idx="15">
                  <c:v>126533.33333333333</c:v>
                </c:pt>
                <c:pt idx="16">
                  <c:v>134441.66666666666</c:v>
                </c:pt>
                <c:pt idx="17">
                  <c:v>142350</c:v>
                </c:pt>
                <c:pt idx="18">
                  <c:v>150258.33333333331</c:v>
                </c:pt>
                <c:pt idx="19">
                  <c:v>158166.66666666666</c:v>
                </c:pt>
                <c:pt idx="20">
                  <c:v>166075</c:v>
                </c:pt>
                <c:pt idx="21">
                  <c:v>173983.33333333331</c:v>
                </c:pt>
                <c:pt idx="22">
                  <c:v>181891.66666666666</c:v>
                </c:pt>
                <c:pt idx="23">
                  <c:v>189800</c:v>
                </c:pt>
                <c:pt idx="24">
                  <c:v>197708.33333333331</c:v>
                </c:pt>
                <c:pt idx="25">
                  <c:v>205616.66666666666</c:v>
                </c:pt>
                <c:pt idx="26">
                  <c:v>213525</c:v>
                </c:pt>
                <c:pt idx="27">
                  <c:v>221433.33333333331</c:v>
                </c:pt>
                <c:pt idx="28">
                  <c:v>229341.66666666666</c:v>
                </c:pt>
                <c:pt idx="29">
                  <c:v>237250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BB-4F1F-B0E5-F54579A56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Tanggal</a:t>
                </a:r>
              </a:p>
            </c:rich>
          </c:tx>
          <c:overlay val="1"/>
        </c:title>
        <c:numFmt formatCode="General" sourceLinked="1"/>
        <c:majorTickMark val="out"/>
        <c:minorTickMark val="none"/>
        <c:tickLblPos val="low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Rupiah</a:t>
                </a:r>
              </a:p>
            </c:rich>
          </c:tx>
          <c:overlay val="1"/>
        </c:title>
        <c:numFmt formatCode="#,##0" sourceLinked="0"/>
        <c:majorTickMark val="out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2E7D32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FE6-4CCA-80BF-FF2BEAAE4857}"/>
              </c:ext>
            </c:extLst>
          </c:dPt>
          <c:dPt>
            <c:idx val="1"/>
            <c:bubble3D val="0"/>
            <c:spPr>
              <a:solidFill>
                <a:srgbClr val="C62828"/>
              </a:solidFill>
              <a:ln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FE6-4CCA-80BF-FF2BEAAE4857}"/>
              </c:ext>
            </c:extLst>
          </c:dPt>
          <c:cat>
            <c:strRef>
              <c:f>Des!$C$2:$C$3</c:f>
              <c:strCache>
                <c:ptCount val="2"/>
                <c:pt idx="0">
                  <c:v>Total Pemasukkan</c:v>
                </c:pt>
                <c:pt idx="1">
                  <c:v>Total Pengeluaran</c:v>
                </c:pt>
              </c:strCache>
            </c:strRef>
          </c:cat>
          <c:val>
            <c:numRef>
              <c:f>Des!$D$2:$D$3</c:f>
              <c:numCache>
                <c:formatCode>[$IDR]\ #,##0</c:formatCode>
                <c:ptCount val="2"/>
                <c:pt idx="0">
                  <c:v>0</c:v>
                </c:pt>
                <c:pt idx="1">
                  <c:v>99000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E6-4CCA-80BF-FF2BEAAE4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Belanja kumulatif harian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Des!$AH$1</c:f>
              <c:strCache>
                <c:ptCount val="1"/>
                <c:pt idx="0">
                  <c:v>Belanja kumulatif</c:v>
                </c:pt>
              </c:strCache>
            </c:strRef>
          </c:tx>
          <c:spPr>
            <a:ln w="22000">
              <a:solidFill>
                <a:srgbClr val="1F4E79"/>
              </a:solidFill>
              <a:prstDash val="solid"/>
            </a:ln>
          </c:spPr>
          <c:marker>
            <c:symbol val="none"/>
          </c:marker>
          <c:cat>
            <c:numRef>
              <c:f>Des!$AF$2:$AF$32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Des!$AH$2:$AH$32</c:f>
              <c:numCache>
                <c:formatCode>General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40-4CE6-B92A-55024E123CF1}"/>
            </c:ext>
          </c:extLst>
        </c:ser>
        <c:ser>
          <c:idx val="1"/>
          <c:order val="1"/>
          <c:tx>
            <c:strRef>
              <c:f>Des!$AI$1</c:f>
              <c:strCache>
                <c:ptCount val="1"/>
                <c:pt idx="0">
                  <c:v>Laju rata-rata bulanan</c:v>
                </c:pt>
              </c:strCache>
            </c:strRef>
          </c:tx>
          <c:spPr>
            <a:ln w="15000">
              <a:solidFill>
                <a:srgbClr val="A6A6A6"/>
              </a:solidFill>
              <a:prstDash val="dash"/>
            </a:ln>
          </c:spPr>
          <c:marker>
            <c:symbol val="none"/>
          </c:marker>
          <c:cat>
            <c:numRef>
              <c:f>Des!$AF$2:$AF$32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Des!$AI$2:$AI$32</c:f>
              <c:numCache>
                <c:formatCode>General</c:formatCode>
                <c:ptCount val="31"/>
                <c:pt idx="0">
                  <c:v>7653.2258064516127</c:v>
                </c:pt>
                <c:pt idx="1">
                  <c:v>15306.451612903225</c:v>
                </c:pt>
                <c:pt idx="2">
                  <c:v>22959.677419354837</c:v>
                </c:pt>
                <c:pt idx="3">
                  <c:v>30612.903225806451</c:v>
                </c:pt>
                <c:pt idx="4">
                  <c:v>38266.129032258061</c:v>
                </c:pt>
                <c:pt idx="5">
                  <c:v>45919.354838709674</c:v>
                </c:pt>
                <c:pt idx="6">
                  <c:v>53572.580645161288</c:v>
                </c:pt>
                <c:pt idx="7">
                  <c:v>61225.806451612902</c:v>
                </c:pt>
                <c:pt idx="8">
                  <c:v>68879.032258064515</c:v>
                </c:pt>
                <c:pt idx="9">
                  <c:v>76532.258064516122</c:v>
                </c:pt>
                <c:pt idx="10">
                  <c:v>84185.483870967742</c:v>
                </c:pt>
                <c:pt idx="11">
                  <c:v>91838.709677419349</c:v>
                </c:pt>
                <c:pt idx="12">
                  <c:v>99491.93548387097</c:v>
                </c:pt>
                <c:pt idx="13">
                  <c:v>107145.16129032258</c:v>
                </c:pt>
                <c:pt idx="14">
                  <c:v>114798.3870967742</c:v>
                </c:pt>
                <c:pt idx="15">
                  <c:v>122451.6129032258</c:v>
                </c:pt>
                <c:pt idx="16">
                  <c:v>130104.83870967741</c:v>
                </c:pt>
                <c:pt idx="17">
                  <c:v>137758.06451612903</c:v>
                </c:pt>
                <c:pt idx="18">
                  <c:v>145411.29032258064</c:v>
                </c:pt>
                <c:pt idx="19">
                  <c:v>153064.51612903224</c:v>
                </c:pt>
                <c:pt idx="20">
                  <c:v>160717.74193548388</c:v>
                </c:pt>
                <c:pt idx="21">
                  <c:v>168370.96774193548</c:v>
                </c:pt>
                <c:pt idx="22">
                  <c:v>176024.19354838709</c:v>
                </c:pt>
                <c:pt idx="23">
                  <c:v>183677.4193548387</c:v>
                </c:pt>
                <c:pt idx="24">
                  <c:v>191330.6451612903</c:v>
                </c:pt>
                <c:pt idx="25">
                  <c:v>198983.87096774194</c:v>
                </c:pt>
                <c:pt idx="26">
                  <c:v>206637.09677419355</c:v>
                </c:pt>
                <c:pt idx="27">
                  <c:v>214290.32258064515</c:v>
                </c:pt>
                <c:pt idx="28">
                  <c:v>221943.54838709676</c:v>
                </c:pt>
                <c:pt idx="29">
                  <c:v>229596.77419354839</c:v>
                </c:pt>
                <c:pt idx="30">
                  <c:v>237250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40-4CE6-B92A-55024E123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Tanggal</a:t>
                </a:r>
              </a:p>
            </c:rich>
          </c:tx>
          <c:overlay val="1"/>
        </c:title>
        <c:numFmt formatCode="General" sourceLinked="1"/>
        <c:majorTickMark val="out"/>
        <c:minorTickMark val="none"/>
        <c:tickLblPos val="low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Rupiah</a:t>
                </a:r>
              </a:p>
            </c:rich>
          </c:tx>
          <c:overlay val="1"/>
        </c:title>
        <c:numFmt formatCode="#,##0" sourceLinked="0"/>
        <c:majorTickMark val="out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3</xdr:row>
      <xdr:rowOff>0</xdr:rowOff>
    </xdr:from>
    <xdr:ext cx="648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48</xdr:row>
      <xdr:rowOff>0</xdr:rowOff>
    </xdr:from>
    <xdr:ext cx="5760000" cy="324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20</xdr:col>
      <xdr:colOff>0</xdr:colOff>
      <xdr:row>3</xdr:row>
      <xdr:rowOff>0</xdr:rowOff>
    </xdr:from>
    <xdr:ext cx="6480000" cy="288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58200</xdr:colOff>
      <xdr:row>5</xdr:row>
      <xdr:rowOff>84374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2</xdr:colOff>
      <xdr:row>25</xdr:row>
      <xdr:rowOff>0</xdr:rowOff>
    </xdr:from>
    <xdr:to>
      <xdr:col>21</xdr:col>
      <xdr:colOff>1112777</xdr:colOff>
      <xdr:row>33</xdr:row>
      <xdr:rowOff>221400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1457325</xdr:colOff>
          <xdr:row>1</xdr:row>
          <xdr:rowOff>285750</xdr:rowOff>
        </xdr:from>
        <xdr:to>
          <xdr:col>5</xdr:col>
          <xdr:colOff>3038475</xdr:colOff>
          <xdr:row>3</xdr:row>
          <xdr:rowOff>247650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Baru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58200</xdr:colOff>
      <xdr:row>5</xdr:row>
      <xdr:rowOff>84374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2</xdr:colOff>
      <xdr:row>25</xdr:row>
      <xdr:rowOff>0</xdr:rowOff>
    </xdr:from>
    <xdr:to>
      <xdr:col>21</xdr:col>
      <xdr:colOff>1112777</xdr:colOff>
      <xdr:row>33</xdr:row>
      <xdr:rowOff>221400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1457325</xdr:colOff>
          <xdr:row>1</xdr:row>
          <xdr:rowOff>285750</xdr:rowOff>
        </xdr:from>
        <xdr:to>
          <xdr:col>5</xdr:col>
          <xdr:colOff>3038475</xdr:colOff>
          <xdr:row>3</xdr:row>
          <xdr:rowOff>247650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Baru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58200</xdr:colOff>
      <xdr:row>5</xdr:row>
      <xdr:rowOff>84374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2</xdr:colOff>
      <xdr:row>25</xdr:row>
      <xdr:rowOff>0</xdr:rowOff>
    </xdr:from>
    <xdr:to>
      <xdr:col>21</xdr:col>
      <xdr:colOff>1112777</xdr:colOff>
      <xdr:row>33</xdr:row>
      <xdr:rowOff>221400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1457325</xdr:colOff>
          <xdr:row>1</xdr:row>
          <xdr:rowOff>285750</xdr:rowOff>
        </xdr:from>
        <xdr:to>
          <xdr:col>5</xdr:col>
          <xdr:colOff>3038475</xdr:colOff>
          <xdr:row>3</xdr:row>
          <xdr:rowOff>247650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Baru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58200</xdr:colOff>
      <xdr:row>5</xdr:row>
      <xdr:rowOff>84374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2</xdr:colOff>
      <xdr:row>25</xdr:row>
      <xdr:rowOff>0</xdr:rowOff>
    </xdr:from>
    <xdr:to>
      <xdr:col>21</xdr:col>
      <xdr:colOff>1112777</xdr:colOff>
      <xdr:row>33</xdr:row>
      <xdr:rowOff>221400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1457325</xdr:colOff>
          <xdr:row>1</xdr:row>
          <xdr:rowOff>285750</xdr:rowOff>
        </xdr:from>
        <xdr:to>
          <xdr:col>5</xdr:col>
          <xdr:colOff>3038475</xdr:colOff>
          <xdr:row>3</xdr:row>
          <xdr:rowOff>247650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Baru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58200</xdr:colOff>
      <xdr:row>5</xdr:row>
      <xdr:rowOff>84374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2</xdr:colOff>
      <xdr:row>25</xdr:row>
      <xdr:rowOff>0</xdr:rowOff>
    </xdr:from>
    <xdr:to>
      <xdr:col>21</xdr:col>
      <xdr:colOff>1112777</xdr:colOff>
      <xdr:row>33</xdr:row>
      <xdr:rowOff>221400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1457325</xdr:colOff>
          <xdr:row>1</xdr:row>
          <xdr:rowOff>285750</xdr:rowOff>
        </xdr:from>
        <xdr:to>
          <xdr:col>5</xdr:col>
          <xdr:colOff>3038475</xdr:colOff>
          <xdr:row>3</xdr:row>
          <xdr:rowOff>247650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5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Baru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58200</xdr:colOff>
      <xdr:row>5</xdr:row>
      <xdr:rowOff>84374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2</xdr:colOff>
      <xdr:row>25</xdr:row>
      <xdr:rowOff>0</xdr:rowOff>
    </xdr:from>
    <xdr:to>
      <xdr:col>21</xdr:col>
      <xdr:colOff>1112777</xdr:colOff>
      <xdr:row>33</xdr:row>
      <xdr:rowOff>221400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1457325</xdr:colOff>
          <xdr:row>1</xdr:row>
          <xdr:rowOff>285750</xdr:rowOff>
        </xdr:from>
        <xdr:to>
          <xdr:col>5</xdr:col>
          <xdr:colOff>3038475</xdr:colOff>
          <xdr:row>3</xdr:row>
          <xdr:rowOff>247650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6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Baru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58200</xdr:colOff>
      <xdr:row>5</xdr:row>
      <xdr:rowOff>84374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2</xdr:colOff>
      <xdr:row>25</xdr:row>
      <xdr:rowOff>0</xdr:rowOff>
    </xdr:from>
    <xdr:to>
      <xdr:col>21</xdr:col>
      <xdr:colOff>1112777</xdr:colOff>
      <xdr:row>33</xdr:row>
      <xdr:rowOff>221400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1457325</xdr:colOff>
          <xdr:row>1</xdr:row>
          <xdr:rowOff>285750</xdr:rowOff>
        </xdr:from>
        <xdr:to>
          <xdr:col>5</xdr:col>
          <xdr:colOff>3038475</xdr:colOff>
          <xdr:row>3</xdr:row>
          <xdr:rowOff>247650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Baru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58200</xdr:colOff>
      <xdr:row>5</xdr:row>
      <xdr:rowOff>84374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2</xdr:colOff>
      <xdr:row>25</xdr:row>
      <xdr:rowOff>0</xdr:rowOff>
    </xdr:from>
    <xdr:to>
      <xdr:col>21</xdr:col>
      <xdr:colOff>1112777</xdr:colOff>
      <xdr:row>33</xdr:row>
      <xdr:rowOff>221400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1457325</xdr:colOff>
          <xdr:row>1</xdr:row>
          <xdr:rowOff>285750</xdr:rowOff>
        </xdr:from>
        <xdr:to>
          <xdr:col>5</xdr:col>
          <xdr:colOff>3038475</xdr:colOff>
          <xdr:row>3</xdr:row>
          <xdr:rowOff>247650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8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Baru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58200</xdr:colOff>
      <xdr:row>5</xdr:row>
      <xdr:rowOff>84374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2</xdr:colOff>
      <xdr:row>25</xdr:row>
      <xdr:rowOff>0</xdr:rowOff>
    </xdr:from>
    <xdr:to>
      <xdr:col>21</xdr:col>
      <xdr:colOff>1112777</xdr:colOff>
      <xdr:row>33</xdr:row>
      <xdr:rowOff>221400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1457325</xdr:colOff>
          <xdr:row>1</xdr:row>
          <xdr:rowOff>285750</xdr:rowOff>
        </xdr:from>
        <xdr:to>
          <xdr:col>5</xdr:col>
          <xdr:colOff>3038475</xdr:colOff>
          <xdr:row>3</xdr:row>
          <xdr:rowOff>247650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9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Baru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58200</xdr:colOff>
      <xdr:row>5</xdr:row>
      <xdr:rowOff>84374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2</xdr:colOff>
      <xdr:row>25</xdr:row>
      <xdr:rowOff>0</xdr:rowOff>
    </xdr:from>
    <xdr:to>
      <xdr:col>21</xdr:col>
      <xdr:colOff>1112777</xdr:colOff>
      <xdr:row>33</xdr:row>
      <xdr:rowOff>221400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1457325</xdr:colOff>
          <xdr:row>1</xdr:row>
          <xdr:rowOff>285750</xdr:rowOff>
        </xdr:from>
        <xdr:to>
          <xdr:col>5</xdr:col>
          <xdr:colOff>3038475</xdr:colOff>
          <xdr:row>3</xdr:row>
          <xdr:rowOff>247650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A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Baru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58200</xdr:colOff>
      <xdr:row>5</xdr:row>
      <xdr:rowOff>84374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2</xdr:colOff>
      <xdr:row>25</xdr:row>
      <xdr:rowOff>0</xdr:rowOff>
    </xdr:from>
    <xdr:to>
      <xdr:col>21</xdr:col>
      <xdr:colOff>1112777</xdr:colOff>
      <xdr:row>33</xdr:row>
      <xdr:rowOff>221400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1457325</xdr:colOff>
          <xdr:row>1</xdr:row>
          <xdr:rowOff>285750</xdr:rowOff>
        </xdr:from>
        <xdr:to>
          <xdr:col>5</xdr:col>
          <xdr:colOff>3038475</xdr:colOff>
          <xdr:row>3</xdr:row>
          <xdr:rowOff>247650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B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Baru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58200</xdr:colOff>
      <xdr:row>5</xdr:row>
      <xdr:rowOff>84374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2</xdr:colOff>
      <xdr:row>25</xdr:row>
      <xdr:rowOff>0</xdr:rowOff>
    </xdr:from>
    <xdr:to>
      <xdr:col>21</xdr:col>
      <xdr:colOff>1112777</xdr:colOff>
      <xdr:row>33</xdr:row>
      <xdr:rowOff>221400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1457325</xdr:colOff>
          <xdr:row>1</xdr:row>
          <xdr:rowOff>285750</xdr:rowOff>
        </xdr:from>
        <xdr:to>
          <xdr:col>5</xdr:col>
          <xdr:colOff>3038475</xdr:colOff>
          <xdr:row>3</xdr:row>
          <xdr:rowOff>247650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C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Baru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ama Almer Felix" refreshedDate="46284.970040046297" missingItemsLimit="0" createdVersion="8" refreshedVersion="8" minRefreshableVersion="3" recordCount="3" xr:uid="{00000000-000A-0000-FFFF-FFFF35000000}">
  <cacheSource type="worksheet">
    <worksheetSource name="JanTable"/>
  </cacheSource>
  <cacheFields count="6">
    <cacheField name="Tanggal" numFmtId="165">
      <sharedItems containsSemiMixedTypes="0" containsNonDate="0" containsDate="1" containsString="0" minDate="2026-01-03T00:00:00" maxDate="2026-01-16T00:00:00"/>
    </cacheField>
    <cacheField name="Tipe" numFmtId="0">
      <sharedItems count="2">
        <s v="Pengeluaran"/>
        <s v="Pemasukan"/>
      </sharedItems>
    </cacheField>
    <cacheField name="Pembayaran" numFmtId="0">
      <sharedItems/>
    </cacheField>
    <cacheField name="Kategori" numFmtId="0">
      <sharedItems count="3">
        <s v="Kategori Uji 01"/>
        <s v="Pendapatan Uji 01"/>
        <s v="Kategori Uji 02"/>
      </sharedItems>
    </cacheField>
    <cacheField name="Jumlah (Rp)" numFmtId="164">
      <sharedItems containsSemiMixedTypes="0" containsString="0" containsNumber="1" containsInteger="1" minValue="75000" maxValue="5000000"/>
    </cacheField>
    <cacheField name="Keteranga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ama Almer Felix" refreshedDate="46284.970041319444" missingItemsLimit="0" createdVersion="8" refreshedVersion="8" minRefreshableVersion="3" recordCount="2" xr:uid="{00000000-000A-0000-FFFF-FFFF30000000}">
  <cacheSource type="worksheet">
    <worksheetSource name="FebTable"/>
  </cacheSource>
  <cacheFields count="6">
    <cacheField name="Tanggal" numFmtId="165">
      <sharedItems containsSemiMixedTypes="0" containsNonDate="0" containsDate="1" containsString="0" minDate="2026-02-02T00:00:00" maxDate="2026-02-21T00:00:00"/>
    </cacheField>
    <cacheField name="Tipe" numFmtId="0">
      <sharedItems count="2">
        <s v="Pengeluaran"/>
        <s v="Pemasukan"/>
      </sharedItems>
    </cacheField>
    <cacheField name="Pembayaran" numFmtId="0">
      <sharedItems/>
    </cacheField>
    <cacheField name="Kategori" numFmtId="0">
      <sharedItems count="2">
        <s v="Kategori Uji 03"/>
        <s v="Pendapatan Uji 02"/>
      </sharedItems>
    </cacheField>
    <cacheField name="Jumlah (Rp)" numFmtId="164">
      <sharedItems containsSemiMixedTypes="0" containsString="0" containsNumber="1" containsInteger="1" minValue="250000" maxValue="1000000"/>
    </cacheField>
    <cacheField name="Keteranga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ama Almer Felix" refreshedDate="46284.970042129629" missingItemsLimit="0" createdVersion="8" refreshedVersion="8" minRefreshableVersion="3" recordCount="1" xr:uid="{00000000-000A-0000-FFFF-FFFF2B000000}">
  <cacheSource type="worksheet">
    <worksheetSource name="MarTable"/>
  </cacheSource>
  <cacheFields count="6">
    <cacheField name="Tanggal" numFmtId="165">
      <sharedItems containsNonDate="0" containsString="0" containsBlank="1"/>
    </cacheField>
    <cacheField name="Tipe" numFmtId="0">
      <sharedItems containsNonDate="0" containsString="0" containsBlank="1" count="1">
        <m/>
      </sharedItems>
    </cacheField>
    <cacheField name="Pembayaran" numFmtId="0">
      <sharedItems containsNonDate="0" containsString="0" containsBlank="1"/>
    </cacheField>
    <cacheField name="Kategori" numFmtId="0">
      <sharedItems containsNonDate="0" containsString="0" containsBlank="1" count="1">
        <m/>
      </sharedItems>
    </cacheField>
    <cacheField name="Jumlah (Rp)" numFmtId="164">
      <sharedItems containsNonDate="0" containsString="0" containsBlank="1"/>
    </cacheField>
    <cacheField name="Keteranga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ama Almer Felix" refreshedDate="46284.97004270833" missingItemsLimit="0" createdVersion="8" refreshedVersion="8" minRefreshableVersion="3" recordCount="1" xr:uid="{00000000-000A-0000-FFFF-FFFF26000000}">
  <cacheSource type="worksheet">
    <worksheetSource name="AprilTable"/>
  </cacheSource>
  <cacheFields count="6">
    <cacheField name="Tanggal" numFmtId="165">
      <sharedItems containsNonDate="0" containsString="0" containsBlank="1"/>
    </cacheField>
    <cacheField name="Tipe" numFmtId="0">
      <sharedItems containsNonDate="0" containsString="0" containsBlank="1" count="1">
        <m/>
      </sharedItems>
    </cacheField>
    <cacheField name="Pembayaran" numFmtId="0">
      <sharedItems containsNonDate="0" containsString="0" containsBlank="1"/>
    </cacheField>
    <cacheField name="Kategori" numFmtId="0">
      <sharedItems containsNonDate="0" containsString="0" containsBlank="1" count="1">
        <m/>
      </sharedItems>
    </cacheField>
    <cacheField name="Jumlah (Rp)" numFmtId="164">
      <sharedItems containsNonDate="0" containsString="0" containsBlank="1"/>
    </cacheField>
    <cacheField name="Keteranga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ama Almer Felix" refreshedDate="46284.970043402776" missingItemsLimit="0" createdVersion="8" refreshedVersion="8" minRefreshableVersion="3" recordCount="1" xr:uid="{00000000-000A-0000-FFFF-FFFF21000000}">
  <cacheSource type="worksheet">
    <worksheetSource name="MayTable"/>
  </cacheSource>
  <cacheFields count="6">
    <cacheField name="Tanggal" numFmtId="165">
      <sharedItems containsNonDate="0" containsString="0" containsBlank="1"/>
    </cacheField>
    <cacheField name="Tipe" numFmtId="0">
      <sharedItems containsNonDate="0" containsString="0" containsBlank="1" count="1">
        <m/>
      </sharedItems>
    </cacheField>
    <cacheField name="Pembayaran" numFmtId="0">
      <sharedItems containsNonDate="0" containsString="0" containsBlank="1"/>
    </cacheField>
    <cacheField name="Kategori" numFmtId="0">
      <sharedItems containsNonDate="0" containsString="0" containsBlank="1" count="1">
        <m/>
      </sharedItems>
    </cacheField>
    <cacheField name="Jumlah (Rp)" numFmtId="164">
      <sharedItems containsNonDate="0" containsString="0" containsBlank="1"/>
    </cacheField>
    <cacheField name="Keteranga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ama Almer Felix" refreshedDate="46284.970044097223" missingItemsLimit="0" createdVersion="8" refreshedVersion="8" minRefreshableVersion="3" recordCount="1" xr:uid="{00000000-000A-0000-FFFF-FFFF1C000000}">
  <cacheSource type="worksheet">
    <worksheetSource name="JuneTable"/>
  </cacheSource>
  <cacheFields count="6">
    <cacheField name="Tanggal" numFmtId="165">
      <sharedItems containsNonDate="0" containsString="0" containsBlank="1"/>
    </cacheField>
    <cacheField name="Tipe" numFmtId="0">
      <sharedItems containsNonDate="0" containsString="0" containsBlank="1" count="1">
        <m/>
      </sharedItems>
    </cacheField>
    <cacheField name="Pembayaran" numFmtId="0">
      <sharedItems containsNonDate="0" containsString="0" containsBlank="1"/>
    </cacheField>
    <cacheField name="Kategori" numFmtId="0">
      <sharedItems containsNonDate="0" containsString="0" containsBlank="1" count="1">
        <m/>
      </sharedItems>
    </cacheField>
    <cacheField name="Jumlah (Rp)" numFmtId="164">
      <sharedItems containsNonDate="0" containsString="0" containsBlank="1"/>
    </cacheField>
    <cacheField name="Keteranga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ama Almer Felix" refreshedDate="46284.970044675923" missingItemsLimit="0" createdVersion="8" refreshedVersion="8" minRefreshableVersion="3" recordCount="1" xr:uid="{00000000-000A-0000-FFFF-FFFF17000000}">
  <cacheSource type="worksheet">
    <worksheetSource name="JulyTable"/>
  </cacheSource>
  <cacheFields count="6">
    <cacheField name="Tanggal" numFmtId="165">
      <sharedItems containsNonDate="0" containsString="0" containsBlank="1"/>
    </cacheField>
    <cacheField name="Tipe" numFmtId="0">
      <sharedItems containsNonDate="0" containsString="0" containsBlank="1" count="1">
        <m/>
      </sharedItems>
    </cacheField>
    <cacheField name="Pembayaran" numFmtId="0">
      <sharedItems containsNonDate="0" containsString="0" containsBlank="1"/>
    </cacheField>
    <cacheField name="Kategori" numFmtId="0">
      <sharedItems containsNonDate="0" containsString="0" containsBlank="1" count="1">
        <m/>
      </sharedItems>
    </cacheField>
    <cacheField name="Jumlah (Rp)" numFmtId="164">
      <sharedItems containsNonDate="0" containsString="0" containsBlank="1"/>
    </cacheField>
    <cacheField name="Keteranga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ama Almer Felix" refreshedDate="46284.97004537037" missingItemsLimit="0" createdVersion="8" refreshedVersion="8" minRefreshableVersion="3" recordCount="1" xr:uid="{00000000-000A-0000-FFFF-FFFF12000000}">
  <cacheSource type="worksheet">
    <worksheetSource name="AugTable"/>
  </cacheSource>
  <cacheFields count="6">
    <cacheField name="Tanggal" numFmtId="165">
      <sharedItems containsNonDate="0" containsString="0" containsBlank="1"/>
    </cacheField>
    <cacheField name="Tipe" numFmtId="0">
      <sharedItems containsNonDate="0" containsString="0" containsBlank="1" count="1">
        <m/>
      </sharedItems>
    </cacheField>
    <cacheField name="Pembayaran" numFmtId="0">
      <sharedItems containsNonDate="0" containsString="0" containsBlank="1"/>
    </cacheField>
    <cacheField name="Kategori" numFmtId="0">
      <sharedItems containsNonDate="0" containsString="0" containsBlank="1" count="1">
        <m/>
      </sharedItems>
    </cacheField>
    <cacheField name="Jumlah (Rp)" numFmtId="164">
      <sharedItems containsNonDate="0" containsString="0" containsBlank="1"/>
    </cacheField>
    <cacheField name="Keteranga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ama Almer Felix" refreshedDate="46284.970046180555" missingItemsLimit="0" createdVersion="8" refreshedVersion="8" minRefreshableVersion="3" recordCount="2" xr:uid="{00000000-000A-0000-FFFF-FFFF0D000000}">
  <cacheSource type="worksheet">
    <worksheetSource name="SepTable"/>
  </cacheSource>
  <cacheFields count="6">
    <cacheField name="Tanggal" numFmtId="165">
      <sharedItems containsSemiMixedTypes="0" containsNonDate="0" containsDate="1" containsString="0" minDate="2026-09-01T00:00:00" maxDate="2026-09-16T00:00:00"/>
    </cacheField>
    <cacheField name="Tipe" numFmtId="0">
      <sharedItems count="1">
        <s v="Pengeluaran"/>
      </sharedItems>
    </cacheField>
    <cacheField name="Pembayaran" numFmtId="0">
      <sharedItems/>
    </cacheField>
    <cacheField name="Kategori" numFmtId="0">
      <sharedItems count="2">
        <s v="Kategori Uji 04"/>
        <s v="Kategori Uji 01"/>
      </sharedItems>
    </cacheField>
    <cacheField name="Jumlah (Rp)" numFmtId="164">
      <sharedItems containsSemiMixedTypes="0" containsString="0" containsNumber="1" containsInteger="1" minValue="80000" maxValue="320000"/>
    </cacheField>
    <cacheField name="Keteranga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ama Almer Felix" refreshedDate="46284.97004699074" missingItemsLimit="0" createdVersion="6" refreshedVersion="8" minRefreshableVersion="3" recordCount="1" xr:uid="{9DB33F48-1963-48A8-B915-D188B29872D3}">
  <cacheSource type="worksheet">
    <worksheetSource name="OktTable"/>
  </cacheSource>
  <cacheFields count="6">
    <cacheField name="Tanggal" numFmtId="165">
      <sharedItems containsNonDate="0" containsString="0" containsBlank="1"/>
    </cacheField>
    <cacheField name="Tipe" numFmtId="0">
      <sharedItems containsNonDate="0" containsString="0" containsBlank="1" count="1">
        <m/>
      </sharedItems>
    </cacheField>
    <cacheField name="Pembayaran" numFmtId="0">
      <sharedItems containsNonDate="0" containsString="0" containsBlank="1"/>
    </cacheField>
    <cacheField name="Kategori" numFmtId="0">
      <sharedItems containsNonDate="0" containsString="0" containsBlank="1" count="1">
        <m/>
      </sharedItems>
    </cacheField>
    <cacheField name="Jumlah (Rp)" numFmtId="164">
      <sharedItems containsNonDate="0" containsString="0" containsBlank="1"/>
    </cacheField>
    <cacheField name="Keteranga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ama Almer Felix" refreshedDate="46284.970047685187" missingItemsLimit="0" createdVersion="6" refreshedVersion="8" minRefreshableVersion="3" recordCount="1" xr:uid="{13F8D040-1030-48F6-B712-E8F1E19A637B}">
  <cacheSource type="worksheet">
    <worksheetSource name="NovTable"/>
  </cacheSource>
  <cacheFields count="6">
    <cacheField name="Tanggal" numFmtId="165">
      <sharedItems containsNonDate="0" containsString="0" containsBlank="1"/>
    </cacheField>
    <cacheField name="Tipe" numFmtId="0">
      <sharedItems containsNonDate="0" containsString="0" containsBlank="1" count="1">
        <m/>
      </sharedItems>
    </cacheField>
    <cacheField name="Pembayaran" numFmtId="0">
      <sharedItems containsNonDate="0" containsString="0" containsBlank="1"/>
    </cacheField>
    <cacheField name="Kategori" numFmtId="0">
      <sharedItems containsNonDate="0" containsString="0" containsBlank="1" count="1">
        <m/>
      </sharedItems>
    </cacheField>
    <cacheField name="Jumlah (Rp)" numFmtId="164">
      <sharedItems containsNonDate="0" containsString="0" containsBlank="1"/>
    </cacheField>
    <cacheField name="Keteranga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ama Almer Felix" refreshedDate="46284.970048379633" missingItemsLimit="0" createdVersion="6" refreshedVersion="8" minRefreshableVersion="3" recordCount="1" xr:uid="{73241290-5FF3-4007-8B1F-2CEDF129761E}">
  <cacheSource type="worksheet">
    <worksheetSource name="DesTable"/>
  </cacheSource>
  <cacheFields count="6">
    <cacheField name="Tanggal" numFmtId="165">
      <sharedItems containsSemiMixedTypes="0" containsNonDate="0" containsDate="1" containsString="0" minDate="2026-12-31T00:00:00" maxDate="2027-01-01T00:00:00"/>
    </cacheField>
    <cacheField name="Tipe" numFmtId="0">
      <sharedItems count="1">
        <s v="Pengeluaran"/>
      </sharedItems>
    </cacheField>
    <cacheField name="Pembayaran" numFmtId="0">
      <sharedItems/>
    </cacheField>
    <cacheField name="Kategori" numFmtId="0">
      <sharedItems count="1">
        <s v="Kategori Uji 05"/>
      </sharedItems>
    </cacheField>
    <cacheField name="Jumlah (Rp)" numFmtId="164">
      <sharedItems containsSemiMixedTypes="0" containsString="0" containsNumber="1" containsInteger="1" minValue="99000" maxValue="99000"/>
    </cacheField>
    <cacheField name="Keteranga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6-01-03T00:00:00"/>
    <x v="0"/>
    <s v="Tunai Uji"/>
    <x v="0"/>
    <n v="125000"/>
    <s v="Belanja uji alfa"/>
  </r>
  <r>
    <d v="2026-01-10T00:00:00"/>
    <x v="1"/>
    <s v="Bank Uji"/>
    <x v="1"/>
    <n v="5000000"/>
    <s v="Pemasukan uji alfa"/>
  </r>
  <r>
    <d v="2026-01-15T00:00:00"/>
    <x v="0"/>
    <s v="Dompet Uji"/>
    <x v="2"/>
    <n v="75000"/>
    <s v="Belanja uji bet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d v="2026-02-02T00:00:00"/>
    <x v="0"/>
    <s v="Bank Uji"/>
    <x v="0"/>
    <n v="250000"/>
    <s v="Belanja uji gamma"/>
  </r>
  <r>
    <d v="2026-02-20T00:00:00"/>
    <x v="1"/>
    <s v="Bank Uji"/>
    <x v="1"/>
    <n v="1000000"/>
    <s v="Pemasukan uji beta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m/>
    <x v="0"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m/>
    <x v="0"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m/>
    <x v="0"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m/>
    <x v="0"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m/>
    <x v="0"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m/>
    <x v="0"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d v="2026-09-01T00:00:00"/>
    <x v="0"/>
    <s v="Kartu Uji"/>
    <x v="0"/>
    <n v="320000"/>
    <s v="Belanja uji delta"/>
  </r>
  <r>
    <d v="2026-09-15T00:00:00"/>
    <x v="0"/>
    <s v="Tunai Uji"/>
    <x v="1"/>
    <n v="80000"/>
    <s v="Belanja uji epsilon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m/>
    <x v="0"/>
    <m/>
    <m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m/>
    <x v="0"/>
    <m/>
    <m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d v="2026-12-31T00:00:00"/>
    <x v="0"/>
    <s v="Dompet Uji"/>
    <x v="0"/>
    <n v="99000"/>
    <s v="Belanja uji zet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6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rowHeaderCaption="Kategori">
  <location ref="H14:I17" firstHeaderRow="1" firstDataRow="1" firstDataCol="1" rowPageCount="1" colPageCount="1"/>
  <pivotFields count="6">
    <pivotField numFmtId="165" showAll="0"/>
    <pivotField axis="axisPage" showAll="0">
      <items count="3">
        <item x="0"/>
        <item x="1"/>
        <item t="default"/>
      </items>
    </pivotField>
    <pivotField showAll="0"/>
    <pivotField axis="axisRow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4" showAll="0"/>
    <pivotField showAll="0"/>
  </pivotFields>
  <rowFields count="1">
    <field x="3"/>
  </rowFields>
  <rowItems count="3">
    <i>
      <x/>
    </i>
    <i>
      <x v="2"/>
    </i>
    <i t="grand">
      <x/>
    </i>
  </rowItems>
  <colItems count="1">
    <i/>
  </colItems>
  <pageFields count="1">
    <pageField fld="1" item="0" hier="-1"/>
  </pageFields>
  <dataFields count="1">
    <dataField name="Total Jumlah (Rp)" fld="4" baseField="0" baseItem="0" numFmtId="164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2" cacheId="165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rowHeaderCaption="Kategori">
  <location ref="H14:I16" firstHeaderRow="1" firstDataRow="1" firstDataCol="1" rowPageCount="1" colPageCount="1"/>
  <pivotFields count="6">
    <pivotField numFmtId="165" showAll="0"/>
    <pivotField axis="axisPage" showAll="0">
      <items count="3">
        <item x="0"/>
        <item x="1"/>
        <item t="default"/>
      </items>
    </pivotField>
    <pivotField showAll="0"/>
    <pivotField axis="axisRow" showAll="0" sortType="de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4" showAll="0"/>
    <pivotField showAll="0"/>
  </pivotFields>
  <rowFields count="1">
    <field x="3"/>
  </rowFields>
  <rowItems count="2">
    <i>
      <x/>
    </i>
    <i t="grand">
      <x/>
    </i>
  </rowItems>
  <colItems count="1">
    <i/>
  </colItems>
  <pageFields count="1">
    <pageField fld="1" item="0" hier="-1"/>
  </pageFields>
  <dataFields count="1">
    <dataField name="Total Jumlah (Rp)" fld="4" baseField="0" baseItem="0" numFmtId="164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ivotTable3" cacheId="17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rowHeaderCaption="Kategori">
  <location ref="H14:I16" firstHeaderRow="1" firstDataRow="1" firstDataCol="1" rowPageCount="1" colPageCount="1"/>
  <pivotFields count="6">
    <pivotField numFmtId="165" showAll="0"/>
    <pivotField axis="axisPage" showAll="0">
      <items count="2">
        <item x="0"/>
        <item t="default"/>
      </items>
    </pivotField>
    <pivotField showAll="0"/>
    <pivotField axis="axisRow" showAll="0" sortType="de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4" showAll="0"/>
    <pivotField showAll="0"/>
  </pivotFields>
  <rowFields count="1">
    <field x="3"/>
  </rowFields>
  <rowItems count="2">
    <i>
      <x/>
    </i>
    <i t="grand">
      <x/>
    </i>
  </rowItems>
  <colItems count="1">
    <i/>
  </colItems>
  <pageFields count="1">
    <pageField fld="1" hier="-1"/>
  </pageFields>
  <dataFields count="1">
    <dataField name="Total Jumlah (Rp)" fld="4" baseField="0" baseItem="0" numFmtId="164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PivotTable3" cacheId="175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rowHeaderCaption="Kategori">
  <location ref="H14:I16" firstHeaderRow="1" firstDataRow="1" firstDataCol="1" rowPageCount="1" colPageCount="1"/>
  <pivotFields count="6">
    <pivotField numFmtId="165" showAll="0"/>
    <pivotField axis="axisPage" showAll="0">
      <items count="2">
        <item x="0"/>
        <item t="default"/>
      </items>
    </pivotField>
    <pivotField showAll="0"/>
    <pivotField axis="axisRow" showAll="0" sortType="de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4" showAll="0"/>
    <pivotField showAll="0"/>
  </pivotFields>
  <rowFields count="1">
    <field x="3"/>
  </rowFields>
  <rowItems count="2">
    <i>
      <x/>
    </i>
    <i t="grand">
      <x/>
    </i>
  </rowItems>
  <colItems count="1">
    <i/>
  </colItems>
  <pageFields count="1">
    <pageField fld="1" hier="-1"/>
  </pageFields>
  <dataFields count="1">
    <dataField name="Total Jumlah (Rp)" fld="4" baseField="0" baseItem="0" numFmtId="164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4000000}" name="PivotTable3" cacheId="18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rowHeaderCaption="Kategori">
  <location ref="H14:I16" firstHeaderRow="1" firstDataRow="1" firstDataCol="1" rowPageCount="1" colPageCount="1"/>
  <pivotFields count="6">
    <pivotField numFmtId="165" showAll="0"/>
    <pivotField axis="axisPage" showAll="0">
      <items count="2">
        <item x="0"/>
        <item t="default"/>
      </items>
    </pivotField>
    <pivotField showAll="0"/>
    <pivotField axis="axisRow" showAll="0" sortType="de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4" showAll="0"/>
    <pivotField showAll="0"/>
  </pivotFields>
  <rowFields count="1">
    <field x="3"/>
  </rowFields>
  <rowItems count="2">
    <i>
      <x/>
    </i>
    <i t="grand">
      <x/>
    </i>
  </rowItems>
  <colItems count="1">
    <i/>
  </colItems>
  <pageFields count="1">
    <pageField fld="1" hier="-1"/>
  </pageFields>
  <dataFields count="1">
    <dataField name="Total Jumlah (Rp)" fld="4" baseField="0" baseItem="0" numFmtId="164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5000000}" name="PivotTable3" cacheId="185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rowHeaderCaption="Kategori">
  <location ref="H14:I16" firstHeaderRow="1" firstDataRow="1" firstDataCol="1" rowPageCount="1" colPageCount="1"/>
  <pivotFields count="6">
    <pivotField numFmtId="165" showAll="0"/>
    <pivotField axis="axisPage" showAll="0">
      <items count="2">
        <item x="0"/>
        <item t="default"/>
      </items>
    </pivotField>
    <pivotField showAll="0"/>
    <pivotField axis="axisRow" showAll="0" sortType="de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4" showAll="0"/>
    <pivotField showAll="0"/>
  </pivotFields>
  <rowFields count="1">
    <field x="3"/>
  </rowFields>
  <rowItems count="2">
    <i>
      <x/>
    </i>
    <i t="grand">
      <x/>
    </i>
  </rowItems>
  <colItems count="1">
    <i/>
  </colItems>
  <pageFields count="1">
    <pageField fld="1" hier="-1"/>
  </pageFields>
  <dataFields count="1">
    <dataField name="Total Jumlah (Rp)" fld="4" baseField="0" baseItem="0" numFmtId="164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6000000}" name="PivotTable3" cacheId="19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rowHeaderCaption="Kategori">
  <location ref="H14:I16" firstHeaderRow="1" firstDataRow="1" firstDataCol="1" rowPageCount="1" colPageCount="1"/>
  <pivotFields count="6">
    <pivotField numFmtId="165" showAll="0"/>
    <pivotField axis="axisPage" showAll="0">
      <items count="2">
        <item x="0"/>
        <item t="default"/>
      </items>
    </pivotField>
    <pivotField showAll="0"/>
    <pivotField axis="axisRow" showAll="0" sortType="de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4" showAll="0"/>
    <pivotField showAll="0"/>
  </pivotFields>
  <rowFields count="1">
    <field x="3"/>
  </rowFields>
  <rowItems count="2">
    <i>
      <x/>
    </i>
    <i t="grand">
      <x/>
    </i>
  </rowItems>
  <colItems count="1">
    <i/>
  </colItems>
  <pageFields count="1">
    <pageField fld="1" hier="-1"/>
  </pageFields>
  <dataFields count="1">
    <dataField name="Total Jumlah (Rp)" fld="4" baseField="0" baseItem="0" numFmtId="164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PivotTable3" cacheId="195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rowHeaderCaption="Kategori">
  <location ref="H14:I16" firstHeaderRow="1" firstDataRow="1" firstDataCol="1" rowPageCount="1" colPageCount="1"/>
  <pivotFields count="6">
    <pivotField numFmtId="165" showAll="0"/>
    <pivotField axis="axisPage" showAll="0">
      <items count="2">
        <item x="0"/>
        <item t="default"/>
      </items>
    </pivotField>
    <pivotField showAll="0"/>
    <pivotField axis="axisRow" showAll="0" sortType="de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4" showAll="0"/>
    <pivotField showAll="0"/>
  </pivotFields>
  <rowFields count="1">
    <field x="3"/>
  </rowFields>
  <rowItems count="2">
    <i>
      <x/>
    </i>
    <i t="grand">
      <x/>
    </i>
  </rowItems>
  <colItems count="1">
    <i/>
  </colItems>
  <pageFields count="1">
    <pageField fld="1" hier="-1"/>
  </pageFields>
  <dataFields count="1">
    <dataField name="Total Jumlah (Rp)" fld="4" baseField="0" baseItem="0" numFmtId="164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8000000}" name="PivotTable3" cacheId="20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rowHeaderCaption="Kategori">
  <location ref="H14:I17" firstHeaderRow="1" firstDataRow="1" firstDataCol="1" rowPageCount="1" colPageCount="1"/>
  <pivotFields count="6">
    <pivotField numFmtId="165" showAll="0"/>
    <pivotField axis="axisPage" showAll="0">
      <items count="2">
        <item x="0"/>
        <item t="default"/>
      </items>
    </pivotField>
    <pivotField showAll="0"/>
    <pivotField axis="axisRow" showAll="0" sortType="de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4" showAll="0"/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pageFields count="1">
    <pageField fld="1" item="0" hier="-1"/>
  </pageFields>
  <dataFields count="1">
    <dataField name="Total Jumlah (Rp)" fld="4" baseField="0" baseItem="0" numFmtId="164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6653F6-113E-4C83-A1B4-4AC370B9DA80}" name="OktPivot" cacheId="205" applyNumberFormats="0" applyBorderFormats="0" applyFontFormats="0" applyPatternFormats="0" applyAlignmentFormats="0" applyWidthHeightFormats="1" dataCaption="Values" updatedVersion="8" minRefreshableVersion="3" itemPrintTitles="1" createdVersion="6" indent="0" outline="1" outlineData="1" multipleFieldFilters="0" rowHeaderCaption="Kategori">
  <location ref="H14:I16" firstHeaderRow="1" firstDataRow="1" firstDataCol="1" rowPageCount="1" colPageCount="1"/>
  <pivotFields count="6">
    <pivotField showAll="0"/>
    <pivotField axis="axisPage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dataField="1" showAll="0"/>
    <pivotField showAll="0"/>
  </pivotFields>
  <rowFields count="1">
    <field x="3"/>
  </rowFields>
  <rowItems count="2">
    <i>
      <x/>
    </i>
    <i t="grand">
      <x/>
    </i>
  </rowItems>
  <colItems count="1">
    <i/>
  </colItems>
  <pageFields count="1">
    <pageField fld="1" hier="-1"/>
  </pageFields>
  <dataFields count="1">
    <dataField name="Total Jumlah (Rp)" fld="4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88C370-C46F-405E-98A9-2FEAC2EE2A36}" name="NovPivot" cacheId="210" applyNumberFormats="0" applyBorderFormats="0" applyFontFormats="0" applyPatternFormats="0" applyAlignmentFormats="0" applyWidthHeightFormats="1" dataCaption="Values" updatedVersion="8" minRefreshableVersion="3" itemPrintTitles="1" createdVersion="6" indent="0" outline="1" outlineData="1" multipleFieldFilters="0" rowHeaderCaption="Kategori">
  <location ref="H14:I16" firstHeaderRow="1" firstDataRow="1" firstDataCol="1" rowPageCount="1" colPageCount="1"/>
  <pivotFields count="6">
    <pivotField showAll="0"/>
    <pivotField axis="axisPage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dataField="1" showAll="0"/>
    <pivotField showAll="0"/>
  </pivotFields>
  <rowFields count="1">
    <field x="3"/>
  </rowFields>
  <rowItems count="2">
    <i>
      <x/>
    </i>
    <i t="grand">
      <x/>
    </i>
  </rowItems>
  <colItems count="1">
    <i/>
  </colItems>
  <pageFields count="1">
    <pageField fld="1" hier="-1"/>
  </pageFields>
  <dataFields count="1">
    <dataField name="Total Jumlah (Rp)" fld="4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218B83-9C8C-42D2-B2B7-FC5058FAD809}" name="DesPivot" cacheId="215" applyNumberFormats="0" applyBorderFormats="0" applyFontFormats="0" applyPatternFormats="0" applyAlignmentFormats="0" applyWidthHeightFormats="1" dataCaption="Values" updatedVersion="8" minRefreshableVersion="3" itemPrintTitles="1" createdVersion="6" indent="0" outline="1" outlineData="1" multipleFieldFilters="0" rowHeaderCaption="Kategori">
  <location ref="H14:I16" firstHeaderRow="1" firstDataRow="1" firstDataCol="1" rowPageCount="1" colPageCount="1"/>
  <pivotFields count="6">
    <pivotField showAll="0"/>
    <pivotField axis="axisPage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dataField="1" showAll="0"/>
    <pivotField showAll="0"/>
  </pivotFields>
  <rowFields count="1">
    <field x="3"/>
  </rowFields>
  <rowItems count="2">
    <i>
      <x/>
    </i>
    <i t="grand">
      <x/>
    </i>
  </rowItems>
  <colItems count="1">
    <i/>
  </colItems>
  <pageFields count="1">
    <pageField fld="1" item="0" hier="-1"/>
  </pageFields>
  <dataFields count="1">
    <dataField name="Total Jumlah (Rp)" fld="4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anTable" displayName="JanTable" ref="A5:F8" totalsRowShown="0" headerRowDxfId="178" headerRowCellStyle="Normal">
  <autoFilter ref="A5:F8" xr:uid="{00000000-0009-0000-0100-000001000000}"/>
  <tableColumns count="6">
    <tableColumn id="1" xr3:uid="{00000000-0010-0000-0000-000001000000}" name="Tanggal" dataDxfId="177" dataCellStyle="Normal"/>
    <tableColumn id="2" xr3:uid="{00000000-0010-0000-0000-000002000000}" name="Tipe" dataDxfId="176" dataCellStyle="Normal"/>
    <tableColumn id="3" xr3:uid="{00000000-0010-0000-0000-000003000000}" name="Pembayaran" dataDxfId="175" dataCellStyle="Normal"/>
    <tableColumn id="6" xr3:uid="{00000000-0010-0000-0000-000006000000}" name="Kategori" dataDxfId="174"/>
    <tableColumn id="4" xr3:uid="{00000000-0010-0000-0000-000004000000}" name="Jumlah (Rp)" dataDxfId="173" dataCellStyle="Normal"/>
    <tableColumn id="5" xr3:uid="{00000000-0010-0000-0000-000005000000}" name="Keterangan" dataDxfId="172" dataCellStyle="Normal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FebTable" displayName="FebTable" ref="A5:F7" totalsRowShown="0" headerRowDxfId="161" headerRowCellStyle="Normal">
  <autoFilter ref="A5:F7" xr:uid="{00000000-0009-0000-0100-000002000000}"/>
  <tableColumns count="6">
    <tableColumn id="1" xr3:uid="{00000000-0010-0000-0100-000001000000}" name="Tanggal" dataDxfId="160" dataCellStyle="Normal"/>
    <tableColumn id="2" xr3:uid="{00000000-0010-0000-0100-000002000000}" name="Tipe" dataDxfId="159" dataCellStyle="Normal"/>
    <tableColumn id="3" xr3:uid="{00000000-0010-0000-0100-000003000000}" name="Pembayaran" dataDxfId="158" dataCellStyle="Normal"/>
    <tableColumn id="6" xr3:uid="{00000000-0010-0000-0100-000006000000}" name="Kategori" dataDxfId="157"/>
    <tableColumn id="4" xr3:uid="{00000000-0010-0000-0100-000004000000}" name="Jumlah (Rp)" dataDxfId="156" dataCellStyle="Normal"/>
    <tableColumn id="5" xr3:uid="{00000000-0010-0000-0100-000005000000}" name="Keterangan" dataDxfId="155" dataCellStyle="Normal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arTable" displayName="MarTable" ref="A5:F6" insertRow="1" totalsRowShown="0" headerRowDxfId="144" headerRowCellStyle="Normal">
  <autoFilter ref="A5:F6" xr:uid="{00000000-0009-0000-0100-000003000000}"/>
  <tableColumns count="6">
    <tableColumn id="1" xr3:uid="{00000000-0010-0000-0200-000001000000}" name="Tanggal" dataDxfId="143" dataCellStyle="Normal"/>
    <tableColumn id="2" xr3:uid="{00000000-0010-0000-0200-000002000000}" name="Tipe" dataDxfId="142" dataCellStyle="Normal"/>
    <tableColumn id="3" xr3:uid="{00000000-0010-0000-0200-000003000000}" name="Pembayaran" dataDxfId="141" dataCellStyle="Normal"/>
    <tableColumn id="6" xr3:uid="{00000000-0010-0000-0200-000006000000}" name="Kategori" dataDxfId="140"/>
    <tableColumn id="4" xr3:uid="{00000000-0010-0000-0200-000004000000}" name="Jumlah (Rp)" dataDxfId="139" dataCellStyle="Normal"/>
    <tableColumn id="5" xr3:uid="{00000000-0010-0000-0200-000005000000}" name="Keterangan" dataDxfId="138" dataCellStyle="Normal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AprilTable" displayName="AprilTable" ref="A5:F6" insertRow="1" totalsRowShown="0" headerRowDxfId="127" headerRowCellStyle="Normal">
  <autoFilter ref="A5:F6" xr:uid="{00000000-0009-0000-0100-000004000000}"/>
  <tableColumns count="6">
    <tableColumn id="1" xr3:uid="{00000000-0010-0000-0300-000001000000}" name="Tanggal" dataDxfId="126" dataCellStyle="Normal"/>
    <tableColumn id="2" xr3:uid="{00000000-0010-0000-0300-000002000000}" name="Tipe" dataDxfId="125" dataCellStyle="Normal"/>
    <tableColumn id="3" xr3:uid="{00000000-0010-0000-0300-000003000000}" name="Pembayaran" dataDxfId="124" dataCellStyle="Normal"/>
    <tableColumn id="6" xr3:uid="{00000000-0010-0000-0300-000006000000}" name="Kategori" dataDxfId="123"/>
    <tableColumn id="4" xr3:uid="{00000000-0010-0000-0300-000004000000}" name="Jumlah (Rp)" dataDxfId="122" dataCellStyle="Normal"/>
    <tableColumn id="5" xr3:uid="{00000000-0010-0000-0300-000005000000}" name="Keterangan" dataDxfId="121" dataCellStyle="Normal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MayTable" displayName="MayTable" ref="A5:F6" insertRow="1" totalsRowShown="0" headerRowDxfId="110" headerRowCellStyle="Normal">
  <autoFilter ref="A5:F6" xr:uid="{00000000-0009-0000-0100-000005000000}"/>
  <tableColumns count="6">
    <tableColumn id="1" xr3:uid="{00000000-0010-0000-0400-000001000000}" name="Tanggal" dataDxfId="109" dataCellStyle="Normal"/>
    <tableColumn id="2" xr3:uid="{00000000-0010-0000-0400-000002000000}" name="Tipe" dataDxfId="108" dataCellStyle="Normal"/>
    <tableColumn id="3" xr3:uid="{00000000-0010-0000-0400-000003000000}" name="Pembayaran" dataDxfId="107" dataCellStyle="Normal"/>
    <tableColumn id="6" xr3:uid="{00000000-0010-0000-0400-000006000000}" name="Kategori" dataDxfId="106"/>
    <tableColumn id="4" xr3:uid="{00000000-0010-0000-0400-000004000000}" name="Jumlah (Rp)" dataDxfId="105" dataCellStyle="Normal"/>
    <tableColumn id="5" xr3:uid="{00000000-0010-0000-0400-000005000000}" name="Keterangan" dataDxfId="104" dataCellStyle="Normal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JuneTable" displayName="JuneTable" ref="A5:F6" insertRow="1" totalsRowShown="0" headerRowDxfId="93" headerRowCellStyle="Normal">
  <autoFilter ref="A5:F6" xr:uid="{00000000-0009-0000-0100-000006000000}"/>
  <tableColumns count="6">
    <tableColumn id="1" xr3:uid="{00000000-0010-0000-0500-000001000000}" name="Tanggal" dataDxfId="92" dataCellStyle="Normal"/>
    <tableColumn id="2" xr3:uid="{00000000-0010-0000-0500-000002000000}" name="Tipe" dataDxfId="91" dataCellStyle="Normal"/>
    <tableColumn id="3" xr3:uid="{00000000-0010-0000-0500-000003000000}" name="Pembayaran" dataDxfId="90" dataCellStyle="Normal"/>
    <tableColumn id="6" xr3:uid="{00000000-0010-0000-0500-000006000000}" name="Kategori" dataDxfId="89"/>
    <tableColumn id="4" xr3:uid="{00000000-0010-0000-0500-000004000000}" name="Jumlah (Rp)" dataDxfId="88" dataCellStyle="Normal"/>
    <tableColumn id="5" xr3:uid="{00000000-0010-0000-0500-000005000000}" name="Keterangan" dataDxfId="87" dataCellStyle="Normal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JulyTable" displayName="JulyTable" ref="A5:F6" insertRow="1" totalsRowShown="0" headerRowDxfId="76" headerRowCellStyle="Normal">
  <autoFilter ref="A5:F6" xr:uid="{00000000-0009-0000-0100-000007000000}"/>
  <tableColumns count="6">
    <tableColumn id="1" xr3:uid="{00000000-0010-0000-0600-000001000000}" name="Tanggal" dataDxfId="75" dataCellStyle="Normal"/>
    <tableColumn id="2" xr3:uid="{00000000-0010-0000-0600-000002000000}" name="Tipe" dataDxfId="74" dataCellStyle="Normal"/>
    <tableColumn id="3" xr3:uid="{00000000-0010-0000-0600-000003000000}" name="Pembayaran" dataDxfId="73" dataCellStyle="Normal"/>
    <tableColumn id="6" xr3:uid="{00000000-0010-0000-0600-000006000000}" name="Kategori" dataDxfId="72"/>
    <tableColumn id="4" xr3:uid="{00000000-0010-0000-0600-000004000000}" name="Jumlah (Rp)" dataDxfId="71" dataCellStyle="Normal"/>
    <tableColumn id="5" xr3:uid="{00000000-0010-0000-0600-000005000000}" name="Keterangan" dataDxfId="70" dataCellStyle="Normal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AugTable" displayName="AugTable" ref="A5:F6" insertRow="1" totalsRowShown="0" headerRowDxfId="59" headerRowCellStyle="Normal">
  <autoFilter ref="A5:F6" xr:uid="{00000000-0009-0000-0100-000008000000}"/>
  <tableColumns count="6">
    <tableColumn id="1" xr3:uid="{00000000-0010-0000-0700-000001000000}" name="Tanggal" dataDxfId="58" dataCellStyle="Normal"/>
    <tableColumn id="2" xr3:uid="{00000000-0010-0000-0700-000002000000}" name="Tipe" dataDxfId="57" dataCellStyle="Normal"/>
    <tableColumn id="3" xr3:uid="{00000000-0010-0000-0700-000003000000}" name="Pembayaran" dataDxfId="56" dataCellStyle="Normal"/>
    <tableColumn id="6" xr3:uid="{00000000-0010-0000-0700-000006000000}" name="Kategori" dataDxfId="55"/>
    <tableColumn id="4" xr3:uid="{00000000-0010-0000-0700-000004000000}" name="Jumlah (Rp)" dataDxfId="54" dataCellStyle="Normal"/>
    <tableColumn id="5" xr3:uid="{00000000-0010-0000-0700-000005000000}" name="Keterangan" dataDxfId="53" dataCellStyle="Normal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SepTable" displayName="SepTable" ref="A5:F7" totalsRowShown="0" headerRowDxfId="42" headerRowCellStyle="Normal">
  <autoFilter ref="A5:F7" xr:uid="{00000000-0009-0000-0100-000009000000}"/>
  <sortState xmlns:xlrd2="http://schemas.microsoft.com/office/spreadsheetml/2017/richdata2" ref="A6:F85">
    <sortCondition descending="1" ref="A5:A85"/>
  </sortState>
  <tableColumns count="6">
    <tableColumn id="1" xr3:uid="{00000000-0010-0000-0800-000001000000}" name="Tanggal" dataDxfId="41" dataCellStyle="Normal"/>
    <tableColumn id="2" xr3:uid="{00000000-0010-0000-0800-000002000000}" name="Tipe" dataDxfId="40" dataCellStyle="Normal"/>
    <tableColumn id="3" xr3:uid="{00000000-0010-0000-0800-000003000000}" name="Pembayaran" dataDxfId="39" dataCellStyle="Normal"/>
    <tableColumn id="6" xr3:uid="{00000000-0010-0000-0800-000006000000}" name="Kategori" dataDxfId="38"/>
    <tableColumn id="4" xr3:uid="{00000000-0010-0000-0800-000004000000}" name="Jumlah (Rp)" dataDxfId="37" dataCellStyle="Normal"/>
    <tableColumn id="5" xr3:uid="{00000000-0010-0000-0800-000005000000}" name="Keterangan" dataDxfId="36" dataCellStyle="Normal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OktTable" displayName="OktTable" ref="A5:F6" insertRow="1" headerRowDxfId="25" dataDxfId="24">
  <autoFilter ref="A5:F6" xr:uid="{00000000-0009-0000-0100-00000A000000}"/>
  <tableColumns count="6">
    <tableColumn id="1" xr3:uid="{00000000-0010-0000-0900-000001000000}" name="Tanggal" dataDxfId="23"/>
    <tableColumn id="2" xr3:uid="{00000000-0010-0000-0900-000002000000}" name="Tipe" dataDxfId="22"/>
    <tableColumn id="3" xr3:uid="{00000000-0010-0000-0900-000003000000}" name="Pembayaran" dataDxfId="21"/>
    <tableColumn id="4" xr3:uid="{00000000-0010-0000-0900-000004000000}" name="Kategori" dataDxfId="20"/>
    <tableColumn id="5" xr3:uid="{00000000-0010-0000-0900-000005000000}" name="Jumlah (Rp)" dataDxfId="19"/>
    <tableColumn id="6" xr3:uid="{00000000-0010-0000-0900-000006000000}" name="Keterangan" dataDxfId="18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NovTable" displayName="NovTable" ref="A5:F6" headerRowDxfId="7" dataDxfId="6">
  <autoFilter ref="A5:F6" xr:uid="{00000000-0009-0000-0100-00000B000000}"/>
  <tableColumns count="6">
    <tableColumn id="1" xr3:uid="{00000000-0010-0000-0A00-000001000000}" name="Tanggal" dataDxfId="5"/>
    <tableColumn id="2" xr3:uid="{00000000-0010-0000-0A00-000002000000}" name="Tipe" dataDxfId="4"/>
    <tableColumn id="3" xr3:uid="{00000000-0010-0000-0A00-000003000000}" name="Pembayaran" dataDxfId="3"/>
    <tableColumn id="4" xr3:uid="{00000000-0010-0000-0A00-000004000000}" name="Kategori" dataDxfId="2"/>
    <tableColumn id="5" xr3:uid="{00000000-0010-0000-0A00-000005000000}" name="Jumlah (Rp)" dataDxfId="1"/>
    <tableColumn id="6" xr3:uid="{00000000-0010-0000-0A00-000006000000}" name="Keterangan" dataDxfId="0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DesTable" displayName="DesTable" ref="A5:F6" headerRowDxfId="195" dataDxfId="194">
  <autoFilter ref="A5:F6" xr:uid="{00000000-0009-0000-0100-00000C000000}"/>
  <tableColumns count="6">
    <tableColumn id="1" xr3:uid="{00000000-0010-0000-0B00-000001000000}" name="Tanggal" dataDxfId="193"/>
    <tableColumn id="2" xr3:uid="{00000000-0010-0000-0B00-000002000000}" name="Tipe" dataDxfId="192"/>
    <tableColumn id="3" xr3:uid="{00000000-0010-0000-0B00-000003000000}" name="Pembayaran" dataDxfId="191"/>
    <tableColumn id="4" xr3:uid="{00000000-0010-0000-0B00-000004000000}" name="Kategori" dataDxfId="190"/>
    <tableColumn id="5" xr3:uid="{00000000-0010-0000-0B00-000005000000}" name="Jumlah (Rp)" dataDxfId="189"/>
    <tableColumn id="6" xr3:uid="{00000000-0010-0000-0B00-000006000000}" name="Keterangan" dataDxfId="188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6" Type="http://schemas.openxmlformats.org/officeDocument/2006/relationships/table" Target="../tables/table3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Relationship Id="rId6" Type="http://schemas.openxmlformats.org/officeDocument/2006/relationships/table" Target="../tables/table5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Relationship Id="rId6" Type="http://schemas.openxmlformats.org/officeDocument/2006/relationships/table" Target="../tables/table7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Relationship Id="rId6" Type="http://schemas.openxmlformats.org/officeDocument/2006/relationships/table" Target="../tables/table9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Relationship Id="rId6" Type="http://schemas.openxmlformats.org/officeDocument/2006/relationships/table" Target="../tables/table11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Relationship Id="rId6" Type="http://schemas.openxmlformats.org/officeDocument/2006/relationships/table" Target="../tables/table12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59"/>
  <sheetViews>
    <sheetView workbookViewId="0">
      <pane xSplit="1" topLeftCell="B1" activePane="topRight" state="frozen"/>
      <selection pane="topRight" activeCell="D54" sqref="D54"/>
    </sheetView>
  </sheetViews>
  <sheetFormatPr defaultRowHeight="15" x14ac:dyDescent="0.25"/>
  <cols>
    <col min="1" max="1" width="19.7109375" customWidth="1"/>
    <col min="2" max="17" width="14" customWidth="1"/>
    <col min="34" max="34" width="13" hidden="1" customWidth="1"/>
  </cols>
  <sheetData>
    <row r="1" spans="1:7" ht="18.75" customHeight="1" x14ac:dyDescent="0.3">
      <c r="A1" s="21" t="s">
        <v>0</v>
      </c>
    </row>
    <row r="2" spans="1:7" x14ac:dyDescent="0.25">
      <c r="A2" s="22" t="s">
        <v>1</v>
      </c>
    </row>
    <row r="4" spans="1:7" x14ac:dyDescent="0.25">
      <c r="A4" s="23" t="s">
        <v>2</v>
      </c>
      <c r="B4" s="23" t="s">
        <v>3</v>
      </c>
      <c r="C4" s="23" t="s">
        <v>4</v>
      </c>
      <c r="D4" s="23" t="s">
        <v>5</v>
      </c>
      <c r="E4" s="23" t="s">
        <v>6</v>
      </c>
      <c r="F4" s="23" t="s">
        <v>7</v>
      </c>
      <c r="G4" s="23" t="s">
        <v>8</v>
      </c>
    </row>
    <row r="5" spans="1:7" x14ac:dyDescent="0.25">
      <c r="A5" s="24" t="s">
        <v>9</v>
      </c>
      <c r="B5" s="25">
        <f>SUMIFS(JanTable[Jumlah (Rp)],JanTable[Tipe],"Pemasukan")</f>
        <v>5000000</v>
      </c>
      <c r="C5" s="25">
        <f>SUMIFS(JanTable[Jumlah (Rp)],JanTable[Tipe],"Pengeluaran")</f>
        <v>200000</v>
      </c>
      <c r="D5" s="25">
        <f t="shared" ref="D5:D17" si="0">B5-C5</f>
        <v>4800000</v>
      </c>
      <c r="E5" s="26">
        <f t="shared" ref="E5:E17" si="1">IF(B5=0,"",(B5-C5)/B5)</f>
        <v>0.96</v>
      </c>
      <c r="F5" s="24">
        <f>COUNTA(JanTable[Tanggal])</f>
        <v>3</v>
      </c>
      <c r="G5" s="25">
        <f>D5</f>
        <v>4800000</v>
      </c>
    </row>
    <row r="6" spans="1:7" x14ac:dyDescent="0.25">
      <c r="A6" s="24" t="s">
        <v>10</v>
      </c>
      <c r="B6" s="25">
        <f>SUMIFS(FebTable[Jumlah (Rp)],FebTable[Tipe],"Pemasukan")</f>
        <v>1000000</v>
      </c>
      <c r="C6" s="25">
        <f>SUMIFS(FebTable[Jumlah (Rp)],FebTable[Tipe],"Pengeluaran")</f>
        <v>250000</v>
      </c>
      <c r="D6" s="25">
        <f t="shared" si="0"/>
        <v>750000</v>
      </c>
      <c r="E6" s="26">
        <f t="shared" si="1"/>
        <v>0.75</v>
      </c>
      <c r="F6" s="24">
        <f>COUNTA(FebTable[Tanggal])</f>
        <v>2</v>
      </c>
      <c r="G6" s="25">
        <f t="shared" ref="G6:G16" si="2">G5+D6</f>
        <v>5550000</v>
      </c>
    </row>
    <row r="7" spans="1:7" x14ac:dyDescent="0.25">
      <c r="A7" s="24" t="s">
        <v>11</v>
      </c>
      <c r="B7" s="25">
        <f>SUMIFS(MarTable[Jumlah (Rp)],MarTable[Tipe],"Pemasukan")</f>
        <v>0</v>
      </c>
      <c r="C7" s="25">
        <f>SUMIFS(MarTable[Jumlah (Rp)],MarTable[Tipe],"Pengeluaran")</f>
        <v>0</v>
      </c>
      <c r="D7" s="25">
        <f t="shared" si="0"/>
        <v>0</v>
      </c>
      <c r="E7" s="26" t="str">
        <f t="shared" si="1"/>
        <v/>
      </c>
      <c r="F7" s="24">
        <f>COUNTA(MarTable[Tanggal])</f>
        <v>0</v>
      </c>
      <c r="G7" s="25">
        <f t="shared" si="2"/>
        <v>5550000</v>
      </c>
    </row>
    <row r="8" spans="1:7" x14ac:dyDescent="0.25">
      <c r="A8" s="24" t="s">
        <v>12</v>
      </c>
      <c r="B8" s="25">
        <f>SUMIFS(AprilTable[Jumlah (Rp)],AprilTable[Tipe],"Pemasukan")</f>
        <v>0</v>
      </c>
      <c r="C8" s="25">
        <f>SUMIFS(AprilTable[Jumlah (Rp)],AprilTable[Tipe],"Pengeluaran")</f>
        <v>0</v>
      </c>
      <c r="D8" s="25">
        <f t="shared" si="0"/>
        <v>0</v>
      </c>
      <c r="E8" s="26" t="str">
        <f t="shared" si="1"/>
        <v/>
      </c>
      <c r="F8" s="24">
        <f>COUNTA(AprilTable[Tanggal])</f>
        <v>0</v>
      </c>
      <c r="G8" s="25">
        <f t="shared" si="2"/>
        <v>5550000</v>
      </c>
    </row>
    <row r="9" spans="1:7" x14ac:dyDescent="0.25">
      <c r="A9" s="24" t="s">
        <v>13</v>
      </c>
      <c r="B9" s="25">
        <f>SUMIFS(MayTable[Jumlah (Rp)],MayTable[Tipe],"Pemasukan")</f>
        <v>0</v>
      </c>
      <c r="C9" s="25">
        <f>SUMIFS(MayTable[Jumlah (Rp)],MayTable[Tipe],"Pengeluaran")</f>
        <v>0</v>
      </c>
      <c r="D9" s="25">
        <f t="shared" si="0"/>
        <v>0</v>
      </c>
      <c r="E9" s="26" t="str">
        <f t="shared" si="1"/>
        <v/>
      </c>
      <c r="F9" s="24">
        <f>COUNTA(MayTable[Tanggal])</f>
        <v>0</v>
      </c>
      <c r="G9" s="25">
        <f t="shared" si="2"/>
        <v>5550000</v>
      </c>
    </row>
    <row r="10" spans="1:7" x14ac:dyDescent="0.25">
      <c r="A10" s="24" t="s">
        <v>14</v>
      </c>
      <c r="B10" s="25">
        <f>SUMIFS(JuneTable[Jumlah (Rp)],JuneTable[Tipe],"Pemasukan")</f>
        <v>0</v>
      </c>
      <c r="C10" s="25">
        <f>SUMIFS(JuneTable[Jumlah (Rp)],JuneTable[Tipe],"Pengeluaran")</f>
        <v>0</v>
      </c>
      <c r="D10" s="25">
        <f t="shared" si="0"/>
        <v>0</v>
      </c>
      <c r="E10" s="26" t="str">
        <f t="shared" si="1"/>
        <v/>
      </c>
      <c r="F10" s="24">
        <f>COUNTA(JuneTable[Tanggal])</f>
        <v>0</v>
      </c>
      <c r="G10" s="25">
        <f t="shared" si="2"/>
        <v>5550000</v>
      </c>
    </row>
    <row r="11" spans="1:7" x14ac:dyDescent="0.25">
      <c r="A11" s="24" t="s">
        <v>15</v>
      </c>
      <c r="B11" s="25">
        <f>SUMIFS(JulyTable[Jumlah (Rp)],JulyTable[Tipe],"Pemasukan")</f>
        <v>0</v>
      </c>
      <c r="C11" s="25">
        <f>SUMIFS(JulyTable[Jumlah (Rp)],JulyTable[Tipe],"Pengeluaran")</f>
        <v>0</v>
      </c>
      <c r="D11" s="25">
        <f t="shared" si="0"/>
        <v>0</v>
      </c>
      <c r="E11" s="26" t="str">
        <f t="shared" si="1"/>
        <v/>
      </c>
      <c r="F11" s="24">
        <f>COUNTA(JulyTable[Tanggal])</f>
        <v>0</v>
      </c>
      <c r="G11" s="25">
        <f t="shared" si="2"/>
        <v>5550000</v>
      </c>
    </row>
    <row r="12" spans="1:7" x14ac:dyDescent="0.25">
      <c r="A12" s="24" t="s">
        <v>16</v>
      </c>
      <c r="B12" s="25">
        <f>SUMIFS(AugTable[Jumlah (Rp)],AugTable[Tipe],"Pemasukan")</f>
        <v>0</v>
      </c>
      <c r="C12" s="25">
        <f>SUMIFS(AugTable[Jumlah (Rp)],AugTable[Tipe],"Pengeluaran")</f>
        <v>0</v>
      </c>
      <c r="D12" s="25">
        <f t="shared" si="0"/>
        <v>0</v>
      </c>
      <c r="E12" s="26" t="str">
        <f t="shared" si="1"/>
        <v/>
      </c>
      <c r="F12" s="24">
        <f>COUNTA(AugTable[Tanggal])</f>
        <v>0</v>
      </c>
      <c r="G12" s="25">
        <f t="shared" si="2"/>
        <v>5550000</v>
      </c>
    </row>
    <row r="13" spans="1:7" x14ac:dyDescent="0.25">
      <c r="A13" s="24" t="s">
        <v>17</v>
      </c>
      <c r="B13" s="25">
        <f>SUMIFS(SepTable[Jumlah (Rp)],SepTable[Tipe],"Pemasukan")</f>
        <v>0</v>
      </c>
      <c r="C13" s="25">
        <f>SUMIFS(SepTable[Jumlah (Rp)],SepTable[Tipe],"Pengeluaran")</f>
        <v>400000</v>
      </c>
      <c r="D13" s="25">
        <f t="shared" si="0"/>
        <v>-400000</v>
      </c>
      <c r="E13" s="26" t="str">
        <f t="shared" si="1"/>
        <v/>
      </c>
      <c r="F13" s="24">
        <f>COUNTA(SepTable[Tanggal])</f>
        <v>2</v>
      </c>
      <c r="G13" s="25">
        <f t="shared" si="2"/>
        <v>5150000</v>
      </c>
    </row>
    <row r="14" spans="1:7" x14ac:dyDescent="0.25">
      <c r="A14" s="24" t="s">
        <v>18</v>
      </c>
      <c r="B14" s="25">
        <f>SUMIFS(OktTable[Jumlah (Rp)],OktTable[Tipe],"Pemasukan")</f>
        <v>0</v>
      </c>
      <c r="C14" s="25">
        <f>SUMIFS(OktTable[Jumlah (Rp)],OktTable[Tipe],"Pengeluaran")</f>
        <v>0</v>
      </c>
      <c r="D14" s="25">
        <f t="shared" si="0"/>
        <v>0</v>
      </c>
      <c r="E14" s="26" t="str">
        <f t="shared" si="1"/>
        <v/>
      </c>
      <c r="F14" s="24">
        <f>COUNTA(OktTable[Tanggal])</f>
        <v>0</v>
      </c>
      <c r="G14" s="25">
        <f t="shared" si="2"/>
        <v>5150000</v>
      </c>
    </row>
    <row r="15" spans="1:7" x14ac:dyDescent="0.25">
      <c r="A15" s="24" t="s">
        <v>19</v>
      </c>
      <c r="B15" s="25">
        <f>SUMIFS(NovTable[Jumlah (Rp)],NovTable[Tipe],"Pemasukan")</f>
        <v>0</v>
      </c>
      <c r="C15" s="25">
        <f>SUMIFS(NovTable[Jumlah (Rp)],NovTable[Tipe],"Pengeluaran")</f>
        <v>0</v>
      </c>
      <c r="D15" s="25">
        <f t="shared" si="0"/>
        <v>0</v>
      </c>
      <c r="E15" s="26" t="str">
        <f t="shared" si="1"/>
        <v/>
      </c>
      <c r="F15" s="24">
        <f>COUNTA(NovTable[Tanggal])</f>
        <v>0</v>
      </c>
      <c r="G15" s="25">
        <f t="shared" si="2"/>
        <v>5150000</v>
      </c>
    </row>
    <row r="16" spans="1:7" x14ac:dyDescent="0.25">
      <c r="A16" s="24" t="s">
        <v>20</v>
      </c>
      <c r="B16" s="25">
        <f>SUMIFS(DesTable[Jumlah (Rp)],DesTable[Tipe],"Pemasukan")</f>
        <v>0</v>
      </c>
      <c r="C16" s="25">
        <f>SUMIFS(DesTable[Jumlah (Rp)],DesTable[Tipe],"Pengeluaran")</f>
        <v>99000</v>
      </c>
      <c r="D16" s="25">
        <f t="shared" si="0"/>
        <v>-99000</v>
      </c>
      <c r="E16" s="26" t="str">
        <f t="shared" si="1"/>
        <v/>
      </c>
      <c r="F16" s="24">
        <f>COUNTA(DesTable[Tanggal])</f>
        <v>1</v>
      </c>
      <c r="G16" s="25">
        <f t="shared" si="2"/>
        <v>5051000</v>
      </c>
    </row>
    <row r="17" spans="1:34" x14ac:dyDescent="0.25">
      <c r="A17" s="27" t="s">
        <v>21</v>
      </c>
      <c r="B17" s="28">
        <f>SUM(B5:B16)</f>
        <v>6000000</v>
      </c>
      <c r="C17" s="28">
        <f>SUM(C5:C16)</f>
        <v>949000</v>
      </c>
      <c r="D17" s="28">
        <f t="shared" si="0"/>
        <v>5051000</v>
      </c>
      <c r="E17" s="29">
        <f t="shared" si="1"/>
        <v>0.84183333333333332</v>
      </c>
      <c r="F17" s="27">
        <f>SUM(F5:F16)</f>
        <v>8</v>
      </c>
      <c r="G17" s="27"/>
    </row>
    <row r="18" spans="1:34" x14ac:dyDescent="0.25">
      <c r="A18" s="22" t="s">
        <v>22</v>
      </c>
      <c r="B18">
        <f>COUNTIF(C5:C16,"&gt;0")</f>
        <v>4</v>
      </c>
    </row>
    <row r="19" spans="1:34" x14ac:dyDescent="0.25">
      <c r="A19" s="22" t="s">
        <v>23</v>
      </c>
      <c r="B19" s="7">
        <f>IFERROR(C17/B18,0)</f>
        <v>237250</v>
      </c>
    </row>
    <row r="21" spans="1:34" ht="18.75" customHeight="1" x14ac:dyDescent="0.3">
      <c r="A21" s="21" t="s">
        <v>24</v>
      </c>
    </row>
    <row r="22" spans="1:34" ht="30" customHeight="1" x14ac:dyDescent="0.25">
      <c r="A22" s="30" t="s">
        <v>25</v>
      </c>
      <c r="B22" s="30" t="s">
        <v>26</v>
      </c>
      <c r="C22" s="30" t="s">
        <v>27</v>
      </c>
      <c r="D22" s="30" t="s">
        <v>28</v>
      </c>
      <c r="E22" s="30" t="s">
        <v>29</v>
      </c>
      <c r="F22" s="30" t="s">
        <v>13</v>
      </c>
      <c r="G22" s="30" t="s">
        <v>30</v>
      </c>
      <c r="H22" s="30" t="s">
        <v>31</v>
      </c>
      <c r="I22" s="30" t="s">
        <v>32</v>
      </c>
      <c r="J22" s="30" t="s">
        <v>33</v>
      </c>
      <c r="K22" s="30" t="s">
        <v>34</v>
      </c>
      <c r="L22" s="30" t="s">
        <v>35</v>
      </c>
      <c r="M22" s="30" t="s">
        <v>36</v>
      </c>
      <c r="N22" s="30" t="s">
        <v>37</v>
      </c>
      <c r="O22" s="30" t="s">
        <v>38</v>
      </c>
      <c r="P22" s="30" t="s">
        <v>39</v>
      </c>
      <c r="Q22" s="30" t="s">
        <v>40</v>
      </c>
    </row>
    <row r="23" spans="1:34" x14ac:dyDescent="0.25">
      <c r="A23" s="24" t="s">
        <v>120</v>
      </c>
      <c r="B23" s="25">
        <f>SUMIFS(JanTable[Jumlah (Rp)],JanTable[Tipe],"Pengeluaran",JanTable[Kategori],$A23)</f>
        <v>125000</v>
      </c>
      <c r="C23" s="25">
        <f>SUMIFS(FebTable[Jumlah (Rp)],FebTable[Tipe],"Pengeluaran",FebTable[Kategori],$A23)</f>
        <v>0</v>
      </c>
      <c r="D23" s="25">
        <f>SUMIFS(MarTable[Jumlah (Rp)],MarTable[Tipe],"Pengeluaran",MarTable[Kategori],$A23)</f>
        <v>0</v>
      </c>
      <c r="E23" s="25">
        <f>SUMIFS(AprilTable[Jumlah (Rp)],AprilTable[Tipe],"Pengeluaran",AprilTable[Kategori],$A23)</f>
        <v>0</v>
      </c>
      <c r="F23" s="25">
        <f>SUMIFS(MayTable[Jumlah (Rp)],MayTable[Tipe],"Pengeluaran",MayTable[Kategori],$A23)</f>
        <v>0</v>
      </c>
      <c r="G23" s="25">
        <f>SUMIFS(JuneTable[Jumlah (Rp)],JuneTable[Tipe],"Pengeluaran",JuneTable[Kategori],$A23)</f>
        <v>0</v>
      </c>
      <c r="H23" s="25">
        <f>SUMIFS(JulyTable[Jumlah (Rp)],JulyTable[Tipe],"Pengeluaran",JulyTable[Kategori],$A23)</f>
        <v>0</v>
      </c>
      <c r="I23" s="25">
        <f>SUMIFS(AugTable[Jumlah (Rp)],AugTable[Tipe],"Pengeluaran",AugTable[Kategori],$A23)</f>
        <v>0</v>
      </c>
      <c r="J23" s="25">
        <f>SUMIFS(SepTable[Jumlah (Rp)],SepTable[Tipe],"Pengeluaran",SepTable[Kategori],$A23)</f>
        <v>80000</v>
      </c>
      <c r="K23" s="25">
        <f>SUMIFS(OktTable[Jumlah (Rp)],OktTable[Tipe],"Pengeluaran",OktTable[Kategori],$A23)</f>
        <v>0</v>
      </c>
      <c r="L23" s="25">
        <f>SUMIFS(NovTable[Jumlah (Rp)],NovTable[Tipe],"Pengeluaran",NovTable[Kategori],$A23)</f>
        <v>0</v>
      </c>
      <c r="M23" s="25">
        <f>SUMIFS(DesTable[Jumlah (Rp)],DesTable[Tipe],"Pengeluaran",DesTable[Kategori],$A23)</f>
        <v>0</v>
      </c>
      <c r="N23" s="25">
        <f t="shared" ref="N23:N45" si="3">SUM(B23:M23)</f>
        <v>205000</v>
      </c>
      <c r="O23" s="25">
        <f t="shared" ref="O23:O46" si="4">IFERROR(N23/$B$18,0)</f>
        <v>51250</v>
      </c>
      <c r="P23" s="25">
        <f>IFERROR(INDEX(Master!$C$5:$C$81,MATCH($A23,Master!$A$5:$A$81,0)),0)</f>
        <v>100000</v>
      </c>
      <c r="Q23" s="25">
        <f t="shared" ref="Q23:Q46" si="5">O23-P23</f>
        <v>-48750</v>
      </c>
      <c r="AH23">
        <f t="shared" ref="AH23:AH45" si="6">N23+ROW()/1000000</f>
        <v>205000.000023</v>
      </c>
    </row>
    <row r="24" spans="1:34" x14ac:dyDescent="0.25">
      <c r="A24" s="24" t="s">
        <v>121</v>
      </c>
      <c r="B24" s="25">
        <f>SUMIFS(JanTable[Jumlah (Rp)],JanTable[Tipe],"Pengeluaran",JanTable[Kategori],$A24)</f>
        <v>75000</v>
      </c>
      <c r="C24" s="25">
        <f>SUMIFS(FebTable[Jumlah (Rp)],FebTable[Tipe],"Pengeluaran",FebTable[Kategori],$A24)</f>
        <v>0</v>
      </c>
      <c r="D24" s="25">
        <f>SUMIFS(MarTable[Jumlah (Rp)],MarTable[Tipe],"Pengeluaran",MarTable[Kategori],$A24)</f>
        <v>0</v>
      </c>
      <c r="E24" s="25">
        <f>SUMIFS(AprilTable[Jumlah (Rp)],AprilTable[Tipe],"Pengeluaran",AprilTable[Kategori],$A24)</f>
        <v>0</v>
      </c>
      <c r="F24" s="25">
        <f>SUMIFS(MayTable[Jumlah (Rp)],MayTable[Tipe],"Pengeluaran",MayTable[Kategori],$A24)</f>
        <v>0</v>
      </c>
      <c r="G24" s="25">
        <f>SUMIFS(JuneTable[Jumlah (Rp)],JuneTable[Tipe],"Pengeluaran",JuneTable[Kategori],$A24)</f>
        <v>0</v>
      </c>
      <c r="H24" s="25">
        <f>SUMIFS(JulyTable[Jumlah (Rp)],JulyTable[Tipe],"Pengeluaran",JulyTable[Kategori],$A24)</f>
        <v>0</v>
      </c>
      <c r="I24" s="25">
        <f>SUMIFS(AugTable[Jumlah (Rp)],AugTable[Tipe],"Pengeluaran",AugTable[Kategori],$A24)</f>
        <v>0</v>
      </c>
      <c r="J24" s="25">
        <f>SUMIFS(SepTable[Jumlah (Rp)],SepTable[Tipe],"Pengeluaran",SepTable[Kategori],$A24)</f>
        <v>0</v>
      </c>
      <c r="K24" s="25">
        <f>SUMIFS(OktTable[Jumlah (Rp)],OktTable[Tipe],"Pengeluaran",OktTable[Kategori],$A24)</f>
        <v>0</v>
      </c>
      <c r="L24" s="25">
        <f>SUMIFS(NovTable[Jumlah (Rp)],NovTable[Tipe],"Pengeluaran",NovTable[Kategori],$A24)</f>
        <v>0</v>
      </c>
      <c r="M24" s="25">
        <f>SUMIFS(DesTable[Jumlah (Rp)],DesTable[Tipe],"Pengeluaran",DesTable[Kategori],$A24)</f>
        <v>0</v>
      </c>
      <c r="N24" s="25">
        <f t="shared" si="3"/>
        <v>75000</v>
      </c>
      <c r="O24" s="25">
        <f t="shared" si="4"/>
        <v>18750</v>
      </c>
      <c r="P24" s="25">
        <f>IFERROR(INDEX(Master!$C$5:$C$81,MATCH($A24,Master!$A$5:$A$81,0)),0)</f>
        <v>200000</v>
      </c>
      <c r="Q24" s="25">
        <f t="shared" si="5"/>
        <v>-181250</v>
      </c>
      <c r="AH24">
        <f t="shared" si="6"/>
        <v>75000.000023999994</v>
      </c>
    </row>
    <row r="25" spans="1:34" x14ac:dyDescent="0.25">
      <c r="A25" s="24" t="s">
        <v>122</v>
      </c>
      <c r="B25" s="25">
        <f>SUMIFS(JanTable[Jumlah (Rp)],JanTable[Tipe],"Pengeluaran",JanTable[Kategori],$A25)</f>
        <v>0</v>
      </c>
      <c r="C25" s="25">
        <f>SUMIFS(FebTable[Jumlah (Rp)],FebTable[Tipe],"Pengeluaran",FebTable[Kategori],$A25)</f>
        <v>250000</v>
      </c>
      <c r="D25" s="25">
        <f>SUMIFS(MarTable[Jumlah (Rp)],MarTable[Tipe],"Pengeluaran",MarTable[Kategori],$A25)</f>
        <v>0</v>
      </c>
      <c r="E25" s="25">
        <f>SUMIFS(AprilTable[Jumlah (Rp)],AprilTable[Tipe],"Pengeluaran",AprilTable[Kategori],$A25)</f>
        <v>0</v>
      </c>
      <c r="F25" s="25">
        <f>SUMIFS(MayTable[Jumlah (Rp)],MayTable[Tipe],"Pengeluaran",MayTable[Kategori],$A25)</f>
        <v>0</v>
      </c>
      <c r="G25" s="25">
        <f>SUMIFS(JuneTable[Jumlah (Rp)],JuneTable[Tipe],"Pengeluaran",JuneTable[Kategori],$A25)</f>
        <v>0</v>
      </c>
      <c r="H25" s="25">
        <f>SUMIFS(JulyTable[Jumlah (Rp)],JulyTable[Tipe],"Pengeluaran",JulyTable[Kategori],$A25)</f>
        <v>0</v>
      </c>
      <c r="I25" s="25">
        <f>SUMIFS(AugTable[Jumlah (Rp)],AugTable[Tipe],"Pengeluaran",AugTable[Kategori],$A25)</f>
        <v>0</v>
      </c>
      <c r="J25" s="25">
        <f>SUMIFS(SepTable[Jumlah (Rp)],SepTable[Tipe],"Pengeluaran",SepTable[Kategori],$A25)</f>
        <v>0</v>
      </c>
      <c r="K25" s="25">
        <f>SUMIFS(OktTable[Jumlah (Rp)],OktTable[Tipe],"Pengeluaran",OktTable[Kategori],$A25)</f>
        <v>0</v>
      </c>
      <c r="L25" s="25">
        <f>SUMIFS(NovTable[Jumlah (Rp)],NovTable[Tipe],"Pengeluaran",NovTable[Kategori],$A25)</f>
        <v>0</v>
      </c>
      <c r="M25" s="25">
        <f>SUMIFS(DesTable[Jumlah (Rp)],DesTable[Tipe],"Pengeluaran",DesTable[Kategori],$A25)</f>
        <v>0</v>
      </c>
      <c r="N25" s="25">
        <f t="shared" si="3"/>
        <v>250000</v>
      </c>
      <c r="O25" s="25">
        <f t="shared" si="4"/>
        <v>62500</v>
      </c>
      <c r="P25" s="25">
        <f>IFERROR(INDEX(Master!$C$5:$C$81,MATCH($A25,Master!$A$5:$A$81,0)),0)</f>
        <v>300000</v>
      </c>
      <c r="Q25" s="25">
        <f t="shared" si="5"/>
        <v>-237500</v>
      </c>
      <c r="AH25">
        <f t="shared" si="6"/>
        <v>250000.00002499999</v>
      </c>
    </row>
    <row r="26" spans="1:34" x14ac:dyDescent="0.25">
      <c r="A26" s="24" t="s">
        <v>123</v>
      </c>
      <c r="B26" s="25">
        <f>SUMIFS(JanTable[Jumlah (Rp)],JanTable[Tipe],"Pengeluaran",JanTable[Kategori],$A26)</f>
        <v>0</v>
      </c>
      <c r="C26" s="25">
        <f>SUMIFS(FebTable[Jumlah (Rp)],FebTable[Tipe],"Pengeluaran",FebTable[Kategori],$A26)</f>
        <v>0</v>
      </c>
      <c r="D26" s="25">
        <f>SUMIFS(MarTable[Jumlah (Rp)],MarTable[Tipe],"Pengeluaran",MarTable[Kategori],$A26)</f>
        <v>0</v>
      </c>
      <c r="E26" s="25">
        <f>SUMIFS(AprilTable[Jumlah (Rp)],AprilTable[Tipe],"Pengeluaran",AprilTable[Kategori],$A26)</f>
        <v>0</v>
      </c>
      <c r="F26" s="25">
        <f>SUMIFS(MayTable[Jumlah (Rp)],MayTable[Tipe],"Pengeluaran",MayTable[Kategori],$A26)</f>
        <v>0</v>
      </c>
      <c r="G26" s="25">
        <f>SUMIFS(JuneTable[Jumlah (Rp)],JuneTable[Tipe],"Pengeluaran",JuneTable[Kategori],$A26)</f>
        <v>0</v>
      </c>
      <c r="H26" s="25">
        <f>SUMIFS(JulyTable[Jumlah (Rp)],JulyTable[Tipe],"Pengeluaran",JulyTable[Kategori],$A26)</f>
        <v>0</v>
      </c>
      <c r="I26" s="25">
        <f>SUMIFS(AugTable[Jumlah (Rp)],AugTable[Tipe],"Pengeluaran",AugTable[Kategori],$A26)</f>
        <v>0</v>
      </c>
      <c r="J26" s="25">
        <f>SUMIFS(SepTable[Jumlah (Rp)],SepTable[Tipe],"Pengeluaran",SepTable[Kategori],$A26)</f>
        <v>320000</v>
      </c>
      <c r="K26" s="25">
        <f>SUMIFS(OktTable[Jumlah (Rp)],OktTable[Tipe],"Pengeluaran",OktTable[Kategori],$A26)</f>
        <v>0</v>
      </c>
      <c r="L26" s="25">
        <f>SUMIFS(NovTable[Jumlah (Rp)],NovTable[Tipe],"Pengeluaran",NovTable[Kategori],$A26)</f>
        <v>0</v>
      </c>
      <c r="M26" s="25">
        <f>SUMIFS(DesTable[Jumlah (Rp)],DesTable[Tipe],"Pengeluaran",DesTable[Kategori],$A26)</f>
        <v>0</v>
      </c>
      <c r="N26" s="25">
        <f t="shared" si="3"/>
        <v>320000</v>
      </c>
      <c r="O26" s="25">
        <f t="shared" si="4"/>
        <v>80000</v>
      </c>
      <c r="P26" s="25">
        <f>IFERROR(INDEX(Master!$C$5:$C$81,MATCH($A26,Master!$A$5:$A$81,0)),0)</f>
        <v>400000</v>
      </c>
      <c r="Q26" s="25">
        <f t="shared" si="5"/>
        <v>-320000</v>
      </c>
      <c r="AH26">
        <f t="shared" si="6"/>
        <v>320000.00002600002</v>
      </c>
    </row>
    <row r="27" spans="1:34" x14ac:dyDescent="0.25">
      <c r="A27" s="24" t="s">
        <v>124</v>
      </c>
      <c r="B27" s="25">
        <f>SUMIFS(JanTable[Jumlah (Rp)],JanTable[Tipe],"Pengeluaran",JanTable[Kategori],$A27)</f>
        <v>0</v>
      </c>
      <c r="C27" s="25">
        <f>SUMIFS(FebTable[Jumlah (Rp)],FebTable[Tipe],"Pengeluaran",FebTable[Kategori],$A27)</f>
        <v>0</v>
      </c>
      <c r="D27" s="25">
        <f>SUMIFS(MarTable[Jumlah (Rp)],MarTable[Tipe],"Pengeluaran",MarTable[Kategori],$A27)</f>
        <v>0</v>
      </c>
      <c r="E27" s="25">
        <f>SUMIFS(AprilTable[Jumlah (Rp)],AprilTable[Tipe],"Pengeluaran",AprilTable[Kategori],$A27)</f>
        <v>0</v>
      </c>
      <c r="F27" s="25">
        <f>SUMIFS(MayTable[Jumlah (Rp)],MayTable[Tipe],"Pengeluaran",MayTable[Kategori],$A27)</f>
        <v>0</v>
      </c>
      <c r="G27" s="25">
        <f>SUMIFS(JuneTable[Jumlah (Rp)],JuneTable[Tipe],"Pengeluaran",JuneTable[Kategori],$A27)</f>
        <v>0</v>
      </c>
      <c r="H27" s="25">
        <f>SUMIFS(JulyTable[Jumlah (Rp)],JulyTable[Tipe],"Pengeluaran",JulyTable[Kategori],$A27)</f>
        <v>0</v>
      </c>
      <c r="I27" s="25">
        <f>SUMIFS(AugTable[Jumlah (Rp)],AugTable[Tipe],"Pengeluaran",AugTable[Kategori],$A27)</f>
        <v>0</v>
      </c>
      <c r="J27" s="25">
        <f>SUMIFS(SepTable[Jumlah (Rp)],SepTable[Tipe],"Pengeluaran",SepTable[Kategori],$A27)</f>
        <v>0</v>
      </c>
      <c r="K27" s="25">
        <f>SUMIFS(OktTable[Jumlah (Rp)],OktTable[Tipe],"Pengeluaran",OktTable[Kategori],$A27)</f>
        <v>0</v>
      </c>
      <c r="L27" s="25">
        <f>SUMIFS(NovTable[Jumlah (Rp)],NovTable[Tipe],"Pengeluaran",NovTable[Kategori],$A27)</f>
        <v>0</v>
      </c>
      <c r="M27" s="25">
        <f>SUMIFS(DesTable[Jumlah (Rp)],DesTable[Tipe],"Pengeluaran",DesTable[Kategori],$A27)</f>
        <v>99000</v>
      </c>
      <c r="N27" s="25">
        <f t="shared" si="3"/>
        <v>99000</v>
      </c>
      <c r="O27" s="25">
        <f t="shared" si="4"/>
        <v>24750</v>
      </c>
      <c r="P27" s="25">
        <f>IFERROR(INDEX(Master!$C$5:$C$81,MATCH($A27,Master!$A$5:$A$81,0)),0)</f>
        <v>500000</v>
      </c>
      <c r="Q27" s="25">
        <f t="shared" si="5"/>
        <v>-475250</v>
      </c>
      <c r="AH27">
        <f t="shared" si="6"/>
        <v>99000.000027000002</v>
      </c>
    </row>
    <row r="28" spans="1:34" x14ac:dyDescent="0.25">
      <c r="A28" s="24" t="s">
        <v>125</v>
      </c>
      <c r="B28" s="25">
        <f>SUMIFS(JanTable[Jumlah (Rp)],JanTable[Tipe],"Pengeluaran",JanTable[Kategori],$A28)</f>
        <v>0</v>
      </c>
      <c r="C28" s="25">
        <f>SUMIFS(FebTable[Jumlah (Rp)],FebTable[Tipe],"Pengeluaran",FebTable[Kategori],$A28)</f>
        <v>0</v>
      </c>
      <c r="D28" s="25">
        <f>SUMIFS(MarTable[Jumlah (Rp)],MarTable[Tipe],"Pengeluaran",MarTable[Kategori],$A28)</f>
        <v>0</v>
      </c>
      <c r="E28" s="25">
        <f>SUMIFS(AprilTable[Jumlah (Rp)],AprilTable[Tipe],"Pengeluaran",AprilTable[Kategori],$A28)</f>
        <v>0</v>
      </c>
      <c r="F28" s="25">
        <f>SUMIFS(MayTable[Jumlah (Rp)],MayTable[Tipe],"Pengeluaran",MayTable[Kategori],$A28)</f>
        <v>0</v>
      </c>
      <c r="G28" s="25">
        <f>SUMIFS(JuneTable[Jumlah (Rp)],JuneTable[Tipe],"Pengeluaran",JuneTable[Kategori],$A28)</f>
        <v>0</v>
      </c>
      <c r="H28" s="25">
        <f>SUMIFS(JulyTable[Jumlah (Rp)],JulyTable[Tipe],"Pengeluaran",JulyTable[Kategori],$A28)</f>
        <v>0</v>
      </c>
      <c r="I28" s="25">
        <f>SUMIFS(AugTable[Jumlah (Rp)],AugTable[Tipe],"Pengeluaran",AugTable[Kategori],$A28)</f>
        <v>0</v>
      </c>
      <c r="J28" s="25">
        <f>SUMIFS(SepTable[Jumlah (Rp)],SepTable[Tipe],"Pengeluaran",SepTable[Kategori],$A28)</f>
        <v>0</v>
      </c>
      <c r="K28" s="25">
        <f>SUMIFS(OktTable[Jumlah (Rp)],OktTable[Tipe],"Pengeluaran",OktTable[Kategori],$A28)</f>
        <v>0</v>
      </c>
      <c r="L28" s="25">
        <f>SUMIFS(NovTable[Jumlah (Rp)],NovTable[Tipe],"Pengeluaran",NovTable[Kategori],$A28)</f>
        <v>0</v>
      </c>
      <c r="M28" s="25">
        <f>SUMIFS(DesTable[Jumlah (Rp)],DesTable[Tipe],"Pengeluaran",DesTable[Kategori],$A28)</f>
        <v>0</v>
      </c>
      <c r="N28" s="25">
        <f t="shared" si="3"/>
        <v>0</v>
      </c>
      <c r="O28" s="25">
        <f t="shared" si="4"/>
        <v>0</v>
      </c>
      <c r="P28" s="25">
        <f>IFERROR(INDEX(Master!$C$5:$C$81,MATCH($A28,Master!$A$5:$A$81,0)),0)</f>
        <v>600000</v>
      </c>
      <c r="Q28" s="25">
        <f t="shared" si="5"/>
        <v>-600000</v>
      </c>
      <c r="AH28">
        <f t="shared" si="6"/>
        <v>2.8E-5</v>
      </c>
    </row>
    <row r="29" spans="1:34" x14ac:dyDescent="0.25">
      <c r="A29" s="24" t="s">
        <v>126</v>
      </c>
      <c r="B29" s="25">
        <f>SUMIFS(JanTable[Jumlah (Rp)],JanTable[Tipe],"Pengeluaran",JanTable[Kategori],$A29)</f>
        <v>0</v>
      </c>
      <c r="C29" s="25">
        <f>SUMIFS(FebTable[Jumlah (Rp)],FebTable[Tipe],"Pengeluaran",FebTable[Kategori],$A29)</f>
        <v>0</v>
      </c>
      <c r="D29" s="25">
        <f>SUMIFS(MarTable[Jumlah (Rp)],MarTable[Tipe],"Pengeluaran",MarTable[Kategori],$A29)</f>
        <v>0</v>
      </c>
      <c r="E29" s="25">
        <f>SUMIFS(AprilTable[Jumlah (Rp)],AprilTable[Tipe],"Pengeluaran",AprilTable[Kategori],$A29)</f>
        <v>0</v>
      </c>
      <c r="F29" s="25">
        <f>SUMIFS(MayTable[Jumlah (Rp)],MayTable[Tipe],"Pengeluaran",MayTable[Kategori],$A29)</f>
        <v>0</v>
      </c>
      <c r="G29" s="25">
        <f>SUMIFS(JuneTable[Jumlah (Rp)],JuneTable[Tipe],"Pengeluaran",JuneTable[Kategori],$A29)</f>
        <v>0</v>
      </c>
      <c r="H29" s="25">
        <f>SUMIFS(JulyTable[Jumlah (Rp)],JulyTable[Tipe],"Pengeluaran",JulyTable[Kategori],$A29)</f>
        <v>0</v>
      </c>
      <c r="I29" s="25">
        <f>SUMIFS(AugTable[Jumlah (Rp)],AugTable[Tipe],"Pengeluaran",AugTable[Kategori],$A29)</f>
        <v>0</v>
      </c>
      <c r="J29" s="25">
        <f>SUMIFS(SepTable[Jumlah (Rp)],SepTable[Tipe],"Pengeluaran",SepTable[Kategori],$A29)</f>
        <v>0</v>
      </c>
      <c r="K29" s="25">
        <f>SUMIFS(OktTable[Jumlah (Rp)],OktTable[Tipe],"Pengeluaran",OktTable[Kategori],$A29)</f>
        <v>0</v>
      </c>
      <c r="L29" s="25">
        <f>SUMIFS(NovTable[Jumlah (Rp)],NovTable[Tipe],"Pengeluaran",NovTable[Kategori],$A29)</f>
        <v>0</v>
      </c>
      <c r="M29" s="25">
        <f>SUMIFS(DesTable[Jumlah (Rp)],DesTable[Tipe],"Pengeluaran",DesTable[Kategori],$A29)</f>
        <v>0</v>
      </c>
      <c r="N29" s="25">
        <f t="shared" si="3"/>
        <v>0</v>
      </c>
      <c r="O29" s="25">
        <f t="shared" si="4"/>
        <v>0</v>
      </c>
      <c r="P29" s="25">
        <f>IFERROR(INDEX(Master!$C$5:$C$81,MATCH($A29,Master!$A$5:$A$81,0)),0)</f>
        <v>700000</v>
      </c>
      <c r="Q29" s="25">
        <f t="shared" si="5"/>
        <v>-700000</v>
      </c>
      <c r="AH29">
        <f t="shared" si="6"/>
        <v>2.9E-5</v>
      </c>
    </row>
    <row r="30" spans="1:34" x14ac:dyDescent="0.25">
      <c r="A30" s="24" t="s">
        <v>127</v>
      </c>
      <c r="B30" s="25">
        <f>SUMIFS(JanTable[Jumlah (Rp)],JanTable[Tipe],"Pengeluaran",JanTable[Kategori],$A30)</f>
        <v>0</v>
      </c>
      <c r="C30" s="25">
        <f>SUMIFS(FebTable[Jumlah (Rp)],FebTable[Tipe],"Pengeluaran",FebTable[Kategori],$A30)</f>
        <v>0</v>
      </c>
      <c r="D30" s="25">
        <f>SUMIFS(MarTable[Jumlah (Rp)],MarTable[Tipe],"Pengeluaran",MarTable[Kategori],$A30)</f>
        <v>0</v>
      </c>
      <c r="E30" s="25">
        <f>SUMIFS(AprilTable[Jumlah (Rp)],AprilTable[Tipe],"Pengeluaran",AprilTable[Kategori],$A30)</f>
        <v>0</v>
      </c>
      <c r="F30" s="25">
        <f>SUMIFS(MayTable[Jumlah (Rp)],MayTable[Tipe],"Pengeluaran",MayTable[Kategori],$A30)</f>
        <v>0</v>
      </c>
      <c r="G30" s="25">
        <f>SUMIFS(JuneTable[Jumlah (Rp)],JuneTable[Tipe],"Pengeluaran",JuneTable[Kategori],$A30)</f>
        <v>0</v>
      </c>
      <c r="H30" s="25">
        <f>SUMIFS(JulyTable[Jumlah (Rp)],JulyTable[Tipe],"Pengeluaran",JulyTable[Kategori],$A30)</f>
        <v>0</v>
      </c>
      <c r="I30" s="25">
        <f>SUMIFS(AugTable[Jumlah (Rp)],AugTable[Tipe],"Pengeluaran",AugTable[Kategori],$A30)</f>
        <v>0</v>
      </c>
      <c r="J30" s="25">
        <f>SUMIFS(SepTable[Jumlah (Rp)],SepTable[Tipe],"Pengeluaran",SepTable[Kategori],$A30)</f>
        <v>0</v>
      </c>
      <c r="K30" s="25">
        <f>SUMIFS(OktTable[Jumlah (Rp)],OktTable[Tipe],"Pengeluaran",OktTable[Kategori],$A30)</f>
        <v>0</v>
      </c>
      <c r="L30" s="25">
        <f>SUMIFS(NovTable[Jumlah (Rp)],NovTable[Tipe],"Pengeluaran",NovTable[Kategori],$A30)</f>
        <v>0</v>
      </c>
      <c r="M30" s="25">
        <f>SUMIFS(DesTable[Jumlah (Rp)],DesTable[Tipe],"Pengeluaran",DesTable[Kategori],$A30)</f>
        <v>0</v>
      </c>
      <c r="N30" s="25">
        <f t="shared" si="3"/>
        <v>0</v>
      </c>
      <c r="O30" s="25">
        <f t="shared" si="4"/>
        <v>0</v>
      </c>
      <c r="P30" s="25">
        <f>IFERROR(INDEX(Master!$C$5:$C$81,MATCH($A30,Master!$A$5:$A$81,0)),0)</f>
        <v>800000</v>
      </c>
      <c r="Q30" s="25">
        <f t="shared" si="5"/>
        <v>-800000</v>
      </c>
      <c r="AH30">
        <f t="shared" si="6"/>
        <v>3.0000000000000001E-5</v>
      </c>
    </row>
    <row r="31" spans="1:34" x14ac:dyDescent="0.25">
      <c r="A31" s="24" t="s">
        <v>128</v>
      </c>
      <c r="B31" s="25">
        <f>SUMIFS(JanTable[Jumlah (Rp)],JanTable[Tipe],"Pengeluaran",JanTable[Kategori],$A31)</f>
        <v>0</v>
      </c>
      <c r="C31" s="25">
        <f>SUMIFS(FebTable[Jumlah (Rp)],FebTable[Tipe],"Pengeluaran",FebTable[Kategori],$A31)</f>
        <v>0</v>
      </c>
      <c r="D31" s="25">
        <f>SUMIFS(MarTable[Jumlah (Rp)],MarTable[Tipe],"Pengeluaran",MarTable[Kategori],$A31)</f>
        <v>0</v>
      </c>
      <c r="E31" s="25">
        <f>SUMIFS(AprilTable[Jumlah (Rp)],AprilTable[Tipe],"Pengeluaran",AprilTable[Kategori],$A31)</f>
        <v>0</v>
      </c>
      <c r="F31" s="25">
        <f>SUMIFS(MayTable[Jumlah (Rp)],MayTable[Tipe],"Pengeluaran",MayTable[Kategori],$A31)</f>
        <v>0</v>
      </c>
      <c r="G31" s="25">
        <f>SUMIFS(JuneTable[Jumlah (Rp)],JuneTable[Tipe],"Pengeluaran",JuneTable[Kategori],$A31)</f>
        <v>0</v>
      </c>
      <c r="H31" s="25">
        <f>SUMIFS(JulyTable[Jumlah (Rp)],JulyTable[Tipe],"Pengeluaran",JulyTable[Kategori],$A31)</f>
        <v>0</v>
      </c>
      <c r="I31" s="25">
        <f>SUMIFS(AugTable[Jumlah (Rp)],AugTable[Tipe],"Pengeluaran",AugTable[Kategori],$A31)</f>
        <v>0</v>
      </c>
      <c r="J31" s="25">
        <f>SUMIFS(SepTable[Jumlah (Rp)],SepTable[Tipe],"Pengeluaran",SepTable[Kategori],$A31)</f>
        <v>0</v>
      </c>
      <c r="K31" s="25">
        <f>SUMIFS(OktTable[Jumlah (Rp)],OktTable[Tipe],"Pengeluaran",OktTable[Kategori],$A31)</f>
        <v>0</v>
      </c>
      <c r="L31" s="25">
        <f>SUMIFS(NovTable[Jumlah (Rp)],NovTable[Tipe],"Pengeluaran",NovTable[Kategori],$A31)</f>
        <v>0</v>
      </c>
      <c r="M31" s="25">
        <f>SUMIFS(DesTable[Jumlah (Rp)],DesTable[Tipe],"Pengeluaran",DesTable[Kategori],$A31)</f>
        <v>0</v>
      </c>
      <c r="N31" s="25">
        <f t="shared" si="3"/>
        <v>0</v>
      </c>
      <c r="O31" s="25">
        <f t="shared" si="4"/>
        <v>0</v>
      </c>
      <c r="P31" s="25">
        <f>IFERROR(INDEX(Master!$C$5:$C$81,MATCH($A31,Master!$A$5:$A$81,0)),0)</f>
        <v>900000</v>
      </c>
      <c r="Q31" s="25">
        <f t="shared" si="5"/>
        <v>-900000</v>
      </c>
      <c r="AH31">
        <f t="shared" si="6"/>
        <v>3.1000000000000001E-5</v>
      </c>
    </row>
    <row r="32" spans="1:34" x14ac:dyDescent="0.25">
      <c r="A32" s="24" t="s">
        <v>129</v>
      </c>
      <c r="B32" s="25">
        <f>SUMIFS(JanTable[Jumlah (Rp)],JanTable[Tipe],"Pengeluaran",JanTable[Kategori],$A32)</f>
        <v>0</v>
      </c>
      <c r="C32" s="25">
        <f>SUMIFS(FebTable[Jumlah (Rp)],FebTable[Tipe],"Pengeluaran",FebTable[Kategori],$A32)</f>
        <v>0</v>
      </c>
      <c r="D32" s="25">
        <f>SUMIFS(MarTable[Jumlah (Rp)],MarTable[Tipe],"Pengeluaran",MarTable[Kategori],$A32)</f>
        <v>0</v>
      </c>
      <c r="E32" s="25">
        <f>SUMIFS(AprilTable[Jumlah (Rp)],AprilTable[Tipe],"Pengeluaran",AprilTable[Kategori],$A32)</f>
        <v>0</v>
      </c>
      <c r="F32" s="25">
        <f>SUMIFS(MayTable[Jumlah (Rp)],MayTable[Tipe],"Pengeluaran",MayTable[Kategori],$A32)</f>
        <v>0</v>
      </c>
      <c r="G32" s="25">
        <f>SUMIFS(JuneTable[Jumlah (Rp)],JuneTable[Tipe],"Pengeluaran",JuneTable[Kategori],$A32)</f>
        <v>0</v>
      </c>
      <c r="H32" s="25">
        <f>SUMIFS(JulyTable[Jumlah (Rp)],JulyTable[Tipe],"Pengeluaran",JulyTable[Kategori],$A32)</f>
        <v>0</v>
      </c>
      <c r="I32" s="25">
        <f>SUMIFS(AugTable[Jumlah (Rp)],AugTable[Tipe],"Pengeluaran",AugTable[Kategori],$A32)</f>
        <v>0</v>
      </c>
      <c r="J32" s="25">
        <f>SUMIFS(SepTable[Jumlah (Rp)],SepTable[Tipe],"Pengeluaran",SepTable[Kategori],$A32)</f>
        <v>0</v>
      </c>
      <c r="K32" s="25">
        <f>SUMIFS(OktTable[Jumlah (Rp)],OktTable[Tipe],"Pengeluaran",OktTable[Kategori],$A32)</f>
        <v>0</v>
      </c>
      <c r="L32" s="25">
        <f>SUMIFS(NovTable[Jumlah (Rp)],NovTable[Tipe],"Pengeluaran",NovTable[Kategori],$A32)</f>
        <v>0</v>
      </c>
      <c r="M32" s="25">
        <f>SUMIFS(DesTable[Jumlah (Rp)],DesTable[Tipe],"Pengeluaran",DesTable[Kategori],$A32)</f>
        <v>0</v>
      </c>
      <c r="N32" s="25">
        <f t="shared" si="3"/>
        <v>0</v>
      </c>
      <c r="O32" s="25">
        <f t="shared" si="4"/>
        <v>0</v>
      </c>
      <c r="P32" s="25">
        <f>IFERROR(INDEX(Master!$C$5:$C$81,MATCH($A32,Master!$A$5:$A$81,0)),0)</f>
        <v>1000000</v>
      </c>
      <c r="Q32" s="25">
        <f t="shared" si="5"/>
        <v>-1000000</v>
      </c>
      <c r="AH32">
        <f t="shared" si="6"/>
        <v>3.1999999999999999E-5</v>
      </c>
    </row>
    <row r="33" spans="1:34" x14ac:dyDescent="0.25">
      <c r="A33" s="24" t="s">
        <v>130</v>
      </c>
      <c r="B33" s="25">
        <f>SUMIFS(JanTable[Jumlah (Rp)],JanTable[Tipe],"Pengeluaran",JanTable[Kategori],$A33)</f>
        <v>0</v>
      </c>
      <c r="C33" s="25">
        <f>SUMIFS(FebTable[Jumlah (Rp)],FebTable[Tipe],"Pengeluaran",FebTable[Kategori],$A33)</f>
        <v>0</v>
      </c>
      <c r="D33" s="25">
        <f>SUMIFS(MarTable[Jumlah (Rp)],MarTable[Tipe],"Pengeluaran",MarTable[Kategori],$A33)</f>
        <v>0</v>
      </c>
      <c r="E33" s="25">
        <f>SUMIFS(AprilTable[Jumlah (Rp)],AprilTable[Tipe],"Pengeluaran",AprilTable[Kategori],$A33)</f>
        <v>0</v>
      </c>
      <c r="F33" s="25">
        <f>SUMIFS(MayTable[Jumlah (Rp)],MayTable[Tipe],"Pengeluaran",MayTable[Kategori],$A33)</f>
        <v>0</v>
      </c>
      <c r="G33" s="25">
        <f>SUMIFS(JuneTable[Jumlah (Rp)],JuneTable[Tipe],"Pengeluaran",JuneTable[Kategori],$A33)</f>
        <v>0</v>
      </c>
      <c r="H33" s="25">
        <f>SUMIFS(JulyTable[Jumlah (Rp)],JulyTable[Tipe],"Pengeluaran",JulyTable[Kategori],$A33)</f>
        <v>0</v>
      </c>
      <c r="I33" s="25">
        <f>SUMIFS(AugTable[Jumlah (Rp)],AugTable[Tipe],"Pengeluaran",AugTable[Kategori],$A33)</f>
        <v>0</v>
      </c>
      <c r="J33" s="25">
        <f>SUMIFS(SepTable[Jumlah (Rp)],SepTable[Tipe],"Pengeluaran",SepTable[Kategori],$A33)</f>
        <v>0</v>
      </c>
      <c r="K33" s="25">
        <f>SUMIFS(OktTable[Jumlah (Rp)],OktTable[Tipe],"Pengeluaran",OktTable[Kategori],$A33)</f>
        <v>0</v>
      </c>
      <c r="L33" s="25">
        <f>SUMIFS(NovTable[Jumlah (Rp)],NovTable[Tipe],"Pengeluaran",NovTable[Kategori],$A33)</f>
        <v>0</v>
      </c>
      <c r="M33" s="25">
        <f>SUMIFS(DesTable[Jumlah (Rp)],DesTable[Tipe],"Pengeluaran",DesTable[Kategori],$A33)</f>
        <v>0</v>
      </c>
      <c r="N33" s="25">
        <f t="shared" si="3"/>
        <v>0</v>
      </c>
      <c r="O33" s="25">
        <f t="shared" si="4"/>
        <v>0</v>
      </c>
      <c r="P33" s="25">
        <f>IFERROR(INDEX(Master!$C$5:$C$81,MATCH($A33,Master!$A$5:$A$81,0)),0)</f>
        <v>1100000</v>
      </c>
      <c r="Q33" s="25">
        <f t="shared" si="5"/>
        <v>-1100000</v>
      </c>
      <c r="AH33">
        <f t="shared" si="6"/>
        <v>3.3000000000000003E-5</v>
      </c>
    </row>
    <row r="34" spans="1:34" x14ac:dyDescent="0.25">
      <c r="A34" s="24" t="s">
        <v>131</v>
      </c>
      <c r="B34" s="25">
        <f>SUMIFS(JanTable[Jumlah (Rp)],JanTable[Tipe],"Pengeluaran",JanTable[Kategori],$A34)</f>
        <v>0</v>
      </c>
      <c r="C34" s="25">
        <f>SUMIFS(FebTable[Jumlah (Rp)],FebTable[Tipe],"Pengeluaran",FebTable[Kategori],$A34)</f>
        <v>0</v>
      </c>
      <c r="D34" s="25">
        <f>SUMIFS(MarTable[Jumlah (Rp)],MarTable[Tipe],"Pengeluaran",MarTable[Kategori],$A34)</f>
        <v>0</v>
      </c>
      <c r="E34" s="25">
        <f>SUMIFS(AprilTable[Jumlah (Rp)],AprilTable[Tipe],"Pengeluaran",AprilTable[Kategori],$A34)</f>
        <v>0</v>
      </c>
      <c r="F34" s="25">
        <f>SUMIFS(MayTable[Jumlah (Rp)],MayTable[Tipe],"Pengeluaran",MayTable[Kategori],$A34)</f>
        <v>0</v>
      </c>
      <c r="G34" s="25">
        <f>SUMIFS(JuneTable[Jumlah (Rp)],JuneTable[Tipe],"Pengeluaran",JuneTable[Kategori],$A34)</f>
        <v>0</v>
      </c>
      <c r="H34" s="25">
        <f>SUMIFS(JulyTable[Jumlah (Rp)],JulyTable[Tipe],"Pengeluaran",JulyTable[Kategori],$A34)</f>
        <v>0</v>
      </c>
      <c r="I34" s="25">
        <f>SUMIFS(AugTable[Jumlah (Rp)],AugTable[Tipe],"Pengeluaran",AugTable[Kategori],$A34)</f>
        <v>0</v>
      </c>
      <c r="J34" s="25">
        <f>SUMIFS(SepTable[Jumlah (Rp)],SepTable[Tipe],"Pengeluaran",SepTable[Kategori],$A34)</f>
        <v>0</v>
      </c>
      <c r="K34" s="25">
        <f>SUMIFS(OktTable[Jumlah (Rp)],OktTable[Tipe],"Pengeluaran",OktTable[Kategori],$A34)</f>
        <v>0</v>
      </c>
      <c r="L34" s="25">
        <f>SUMIFS(NovTable[Jumlah (Rp)],NovTable[Tipe],"Pengeluaran",NovTable[Kategori],$A34)</f>
        <v>0</v>
      </c>
      <c r="M34" s="25">
        <f>SUMIFS(DesTable[Jumlah (Rp)],DesTable[Tipe],"Pengeluaran",DesTable[Kategori],$A34)</f>
        <v>0</v>
      </c>
      <c r="N34" s="25">
        <f t="shared" si="3"/>
        <v>0</v>
      </c>
      <c r="O34" s="25">
        <f t="shared" si="4"/>
        <v>0</v>
      </c>
      <c r="P34" s="25">
        <f>IFERROR(INDEX(Master!$C$5:$C$81,MATCH($A34,Master!$A$5:$A$81,0)),0)</f>
        <v>1200000</v>
      </c>
      <c r="Q34" s="25">
        <f t="shared" si="5"/>
        <v>-1200000</v>
      </c>
      <c r="AH34">
        <f t="shared" si="6"/>
        <v>3.4E-5</v>
      </c>
    </row>
    <row r="35" spans="1:34" x14ac:dyDescent="0.25">
      <c r="A35" s="24" t="s">
        <v>132</v>
      </c>
      <c r="B35" s="25">
        <f>SUMIFS(JanTable[Jumlah (Rp)],JanTable[Tipe],"Pengeluaran",JanTable[Kategori],$A35)</f>
        <v>0</v>
      </c>
      <c r="C35" s="25">
        <f>SUMIFS(FebTable[Jumlah (Rp)],FebTable[Tipe],"Pengeluaran",FebTable[Kategori],$A35)</f>
        <v>0</v>
      </c>
      <c r="D35" s="25">
        <f>SUMIFS(MarTable[Jumlah (Rp)],MarTable[Tipe],"Pengeluaran",MarTable[Kategori],$A35)</f>
        <v>0</v>
      </c>
      <c r="E35" s="25">
        <f>SUMIFS(AprilTable[Jumlah (Rp)],AprilTable[Tipe],"Pengeluaran",AprilTable[Kategori],$A35)</f>
        <v>0</v>
      </c>
      <c r="F35" s="25">
        <f>SUMIFS(MayTable[Jumlah (Rp)],MayTable[Tipe],"Pengeluaran",MayTable[Kategori],$A35)</f>
        <v>0</v>
      </c>
      <c r="G35" s="25">
        <f>SUMIFS(JuneTable[Jumlah (Rp)],JuneTable[Tipe],"Pengeluaran",JuneTable[Kategori],$A35)</f>
        <v>0</v>
      </c>
      <c r="H35" s="25">
        <f>SUMIFS(JulyTable[Jumlah (Rp)],JulyTable[Tipe],"Pengeluaran",JulyTable[Kategori],$A35)</f>
        <v>0</v>
      </c>
      <c r="I35" s="25">
        <f>SUMIFS(AugTable[Jumlah (Rp)],AugTable[Tipe],"Pengeluaran",AugTable[Kategori],$A35)</f>
        <v>0</v>
      </c>
      <c r="J35" s="25">
        <f>SUMIFS(SepTable[Jumlah (Rp)],SepTable[Tipe],"Pengeluaran",SepTable[Kategori],$A35)</f>
        <v>0</v>
      </c>
      <c r="K35" s="25">
        <f>SUMIFS(OktTable[Jumlah (Rp)],OktTable[Tipe],"Pengeluaran",OktTable[Kategori],$A35)</f>
        <v>0</v>
      </c>
      <c r="L35" s="25">
        <f>SUMIFS(NovTable[Jumlah (Rp)],NovTable[Tipe],"Pengeluaran",NovTable[Kategori],$A35)</f>
        <v>0</v>
      </c>
      <c r="M35" s="25">
        <f>SUMIFS(DesTable[Jumlah (Rp)],DesTable[Tipe],"Pengeluaran",DesTable[Kategori],$A35)</f>
        <v>0</v>
      </c>
      <c r="N35" s="25">
        <f t="shared" si="3"/>
        <v>0</v>
      </c>
      <c r="O35" s="25">
        <f t="shared" si="4"/>
        <v>0</v>
      </c>
      <c r="P35" s="25">
        <f>IFERROR(INDEX(Master!$C$5:$C$81,MATCH($A35,Master!$A$5:$A$81,0)),0)</f>
        <v>1300000</v>
      </c>
      <c r="Q35" s="25">
        <f t="shared" si="5"/>
        <v>-1300000</v>
      </c>
      <c r="AH35">
        <f t="shared" si="6"/>
        <v>3.4999999999999997E-5</v>
      </c>
    </row>
    <row r="36" spans="1:34" x14ac:dyDescent="0.25">
      <c r="A36" s="24" t="s">
        <v>133</v>
      </c>
      <c r="B36" s="25">
        <f>SUMIFS(JanTable[Jumlah (Rp)],JanTable[Tipe],"Pengeluaran",JanTable[Kategori],$A36)</f>
        <v>0</v>
      </c>
      <c r="C36" s="25">
        <f>SUMIFS(FebTable[Jumlah (Rp)],FebTable[Tipe],"Pengeluaran",FebTable[Kategori],$A36)</f>
        <v>0</v>
      </c>
      <c r="D36" s="25">
        <f>SUMIFS(MarTable[Jumlah (Rp)],MarTable[Tipe],"Pengeluaran",MarTable[Kategori],$A36)</f>
        <v>0</v>
      </c>
      <c r="E36" s="25">
        <f>SUMIFS(AprilTable[Jumlah (Rp)],AprilTable[Tipe],"Pengeluaran",AprilTable[Kategori],$A36)</f>
        <v>0</v>
      </c>
      <c r="F36" s="25">
        <f>SUMIFS(MayTable[Jumlah (Rp)],MayTable[Tipe],"Pengeluaran",MayTable[Kategori],$A36)</f>
        <v>0</v>
      </c>
      <c r="G36" s="25">
        <f>SUMIFS(JuneTable[Jumlah (Rp)],JuneTable[Tipe],"Pengeluaran",JuneTable[Kategori],$A36)</f>
        <v>0</v>
      </c>
      <c r="H36" s="25">
        <f>SUMIFS(JulyTable[Jumlah (Rp)],JulyTable[Tipe],"Pengeluaran",JulyTable[Kategori],$A36)</f>
        <v>0</v>
      </c>
      <c r="I36" s="25">
        <f>SUMIFS(AugTable[Jumlah (Rp)],AugTable[Tipe],"Pengeluaran",AugTable[Kategori],$A36)</f>
        <v>0</v>
      </c>
      <c r="J36" s="25">
        <f>SUMIFS(SepTable[Jumlah (Rp)],SepTable[Tipe],"Pengeluaran",SepTable[Kategori],$A36)</f>
        <v>0</v>
      </c>
      <c r="K36" s="25">
        <f>SUMIFS(OktTable[Jumlah (Rp)],OktTable[Tipe],"Pengeluaran",OktTable[Kategori],$A36)</f>
        <v>0</v>
      </c>
      <c r="L36" s="25">
        <f>SUMIFS(NovTable[Jumlah (Rp)],NovTable[Tipe],"Pengeluaran",NovTable[Kategori],$A36)</f>
        <v>0</v>
      </c>
      <c r="M36" s="25">
        <f>SUMIFS(DesTable[Jumlah (Rp)],DesTable[Tipe],"Pengeluaran",DesTable[Kategori],$A36)</f>
        <v>0</v>
      </c>
      <c r="N36" s="25">
        <f t="shared" si="3"/>
        <v>0</v>
      </c>
      <c r="O36" s="25">
        <f t="shared" si="4"/>
        <v>0</v>
      </c>
      <c r="P36" s="25">
        <f>IFERROR(INDEX(Master!$C$5:$C$81,MATCH($A36,Master!$A$5:$A$81,0)),0)</f>
        <v>1400000</v>
      </c>
      <c r="Q36" s="25">
        <f t="shared" si="5"/>
        <v>-1400000</v>
      </c>
      <c r="AH36">
        <f t="shared" si="6"/>
        <v>3.6000000000000001E-5</v>
      </c>
    </row>
    <row r="37" spans="1:34" x14ac:dyDescent="0.25">
      <c r="A37" s="24" t="s">
        <v>134</v>
      </c>
      <c r="B37" s="25">
        <f>SUMIFS(JanTable[Jumlah (Rp)],JanTable[Tipe],"Pengeluaran",JanTable[Kategori],$A37)</f>
        <v>0</v>
      </c>
      <c r="C37" s="25">
        <f>SUMIFS(FebTable[Jumlah (Rp)],FebTable[Tipe],"Pengeluaran",FebTable[Kategori],$A37)</f>
        <v>0</v>
      </c>
      <c r="D37" s="25">
        <f>SUMIFS(MarTable[Jumlah (Rp)],MarTable[Tipe],"Pengeluaran",MarTable[Kategori],$A37)</f>
        <v>0</v>
      </c>
      <c r="E37" s="25">
        <f>SUMIFS(AprilTable[Jumlah (Rp)],AprilTable[Tipe],"Pengeluaran",AprilTable[Kategori],$A37)</f>
        <v>0</v>
      </c>
      <c r="F37" s="25">
        <f>SUMIFS(MayTable[Jumlah (Rp)],MayTable[Tipe],"Pengeluaran",MayTable[Kategori],$A37)</f>
        <v>0</v>
      </c>
      <c r="G37" s="25">
        <f>SUMIFS(JuneTable[Jumlah (Rp)],JuneTable[Tipe],"Pengeluaran",JuneTable[Kategori],$A37)</f>
        <v>0</v>
      </c>
      <c r="H37" s="25">
        <f>SUMIFS(JulyTable[Jumlah (Rp)],JulyTable[Tipe],"Pengeluaran",JulyTable[Kategori],$A37)</f>
        <v>0</v>
      </c>
      <c r="I37" s="25">
        <f>SUMIFS(AugTable[Jumlah (Rp)],AugTable[Tipe],"Pengeluaran",AugTable[Kategori],$A37)</f>
        <v>0</v>
      </c>
      <c r="J37" s="25">
        <f>SUMIFS(SepTable[Jumlah (Rp)],SepTable[Tipe],"Pengeluaran",SepTable[Kategori],$A37)</f>
        <v>0</v>
      </c>
      <c r="K37" s="25">
        <f>SUMIFS(OktTable[Jumlah (Rp)],OktTable[Tipe],"Pengeluaran",OktTable[Kategori],$A37)</f>
        <v>0</v>
      </c>
      <c r="L37" s="25">
        <f>SUMIFS(NovTable[Jumlah (Rp)],NovTable[Tipe],"Pengeluaran",NovTable[Kategori],$A37)</f>
        <v>0</v>
      </c>
      <c r="M37" s="25">
        <f>SUMIFS(DesTable[Jumlah (Rp)],DesTable[Tipe],"Pengeluaran",DesTable[Kategori],$A37)</f>
        <v>0</v>
      </c>
      <c r="N37" s="25">
        <f t="shared" si="3"/>
        <v>0</v>
      </c>
      <c r="O37" s="25">
        <f t="shared" si="4"/>
        <v>0</v>
      </c>
      <c r="P37" s="25">
        <f>IFERROR(INDEX(Master!$C$5:$C$81,MATCH($A37,Master!$A$5:$A$81,0)),0)</f>
        <v>1500000</v>
      </c>
      <c r="Q37" s="25">
        <f t="shared" si="5"/>
        <v>-1500000</v>
      </c>
      <c r="AH37">
        <f t="shared" si="6"/>
        <v>3.6999999999999998E-5</v>
      </c>
    </row>
    <row r="38" spans="1:34" x14ac:dyDescent="0.25">
      <c r="A38" s="24" t="s">
        <v>135</v>
      </c>
      <c r="B38" s="25">
        <f>SUMIFS(JanTable[Jumlah (Rp)],JanTable[Tipe],"Pengeluaran",JanTable[Kategori],$A38)</f>
        <v>0</v>
      </c>
      <c r="C38" s="25">
        <f>SUMIFS(FebTable[Jumlah (Rp)],FebTable[Tipe],"Pengeluaran",FebTable[Kategori],$A38)</f>
        <v>0</v>
      </c>
      <c r="D38" s="25">
        <f>SUMIFS(MarTable[Jumlah (Rp)],MarTable[Tipe],"Pengeluaran",MarTable[Kategori],$A38)</f>
        <v>0</v>
      </c>
      <c r="E38" s="25">
        <f>SUMIFS(AprilTable[Jumlah (Rp)],AprilTable[Tipe],"Pengeluaran",AprilTable[Kategori],$A38)</f>
        <v>0</v>
      </c>
      <c r="F38" s="25">
        <f>SUMIFS(MayTable[Jumlah (Rp)],MayTable[Tipe],"Pengeluaran",MayTable[Kategori],$A38)</f>
        <v>0</v>
      </c>
      <c r="G38" s="25">
        <f>SUMIFS(JuneTable[Jumlah (Rp)],JuneTable[Tipe],"Pengeluaran",JuneTable[Kategori],$A38)</f>
        <v>0</v>
      </c>
      <c r="H38" s="25">
        <f>SUMIFS(JulyTable[Jumlah (Rp)],JulyTable[Tipe],"Pengeluaran",JulyTable[Kategori],$A38)</f>
        <v>0</v>
      </c>
      <c r="I38" s="25">
        <f>SUMIFS(AugTable[Jumlah (Rp)],AugTable[Tipe],"Pengeluaran",AugTable[Kategori],$A38)</f>
        <v>0</v>
      </c>
      <c r="J38" s="25">
        <f>SUMIFS(SepTable[Jumlah (Rp)],SepTable[Tipe],"Pengeluaran",SepTable[Kategori],$A38)</f>
        <v>0</v>
      </c>
      <c r="K38" s="25">
        <f>SUMIFS(OktTable[Jumlah (Rp)],OktTable[Tipe],"Pengeluaran",OktTable[Kategori],$A38)</f>
        <v>0</v>
      </c>
      <c r="L38" s="25">
        <f>SUMIFS(NovTable[Jumlah (Rp)],NovTable[Tipe],"Pengeluaran",NovTable[Kategori],$A38)</f>
        <v>0</v>
      </c>
      <c r="M38" s="25">
        <f>SUMIFS(DesTable[Jumlah (Rp)],DesTable[Tipe],"Pengeluaran",DesTable[Kategori],$A38)</f>
        <v>0</v>
      </c>
      <c r="N38" s="25">
        <f t="shared" si="3"/>
        <v>0</v>
      </c>
      <c r="O38" s="25">
        <f t="shared" si="4"/>
        <v>0</v>
      </c>
      <c r="P38" s="25">
        <f>IFERROR(INDEX(Master!$C$5:$C$81,MATCH($A38,Master!$A$5:$A$81,0)),0)</f>
        <v>1600000</v>
      </c>
      <c r="Q38" s="25">
        <f t="shared" si="5"/>
        <v>-1600000</v>
      </c>
      <c r="AH38">
        <f t="shared" si="6"/>
        <v>3.8000000000000002E-5</v>
      </c>
    </row>
    <row r="39" spans="1:34" x14ac:dyDescent="0.25">
      <c r="A39" s="24" t="s">
        <v>136</v>
      </c>
      <c r="B39" s="25">
        <f>SUMIFS(JanTable[Jumlah (Rp)],JanTable[Tipe],"Pengeluaran",JanTable[Kategori],$A39)</f>
        <v>0</v>
      </c>
      <c r="C39" s="25">
        <f>SUMIFS(FebTable[Jumlah (Rp)],FebTable[Tipe],"Pengeluaran",FebTable[Kategori],$A39)</f>
        <v>0</v>
      </c>
      <c r="D39" s="25">
        <f>SUMIFS(MarTable[Jumlah (Rp)],MarTable[Tipe],"Pengeluaran",MarTable[Kategori],$A39)</f>
        <v>0</v>
      </c>
      <c r="E39" s="25">
        <f>SUMIFS(AprilTable[Jumlah (Rp)],AprilTable[Tipe],"Pengeluaran",AprilTable[Kategori],$A39)</f>
        <v>0</v>
      </c>
      <c r="F39" s="25">
        <f>SUMIFS(MayTable[Jumlah (Rp)],MayTable[Tipe],"Pengeluaran",MayTable[Kategori],$A39)</f>
        <v>0</v>
      </c>
      <c r="G39" s="25">
        <f>SUMIFS(JuneTable[Jumlah (Rp)],JuneTable[Tipe],"Pengeluaran",JuneTable[Kategori],$A39)</f>
        <v>0</v>
      </c>
      <c r="H39" s="25">
        <f>SUMIFS(JulyTable[Jumlah (Rp)],JulyTable[Tipe],"Pengeluaran",JulyTable[Kategori],$A39)</f>
        <v>0</v>
      </c>
      <c r="I39" s="25">
        <f>SUMIFS(AugTable[Jumlah (Rp)],AugTable[Tipe],"Pengeluaran",AugTable[Kategori],$A39)</f>
        <v>0</v>
      </c>
      <c r="J39" s="25">
        <f>SUMIFS(SepTable[Jumlah (Rp)],SepTable[Tipe],"Pengeluaran",SepTable[Kategori],$A39)</f>
        <v>0</v>
      </c>
      <c r="K39" s="25">
        <f>SUMIFS(OktTable[Jumlah (Rp)],OktTable[Tipe],"Pengeluaran",OktTable[Kategori],$A39)</f>
        <v>0</v>
      </c>
      <c r="L39" s="25">
        <f>SUMIFS(NovTable[Jumlah (Rp)],NovTable[Tipe],"Pengeluaran",NovTable[Kategori],$A39)</f>
        <v>0</v>
      </c>
      <c r="M39" s="25">
        <f>SUMIFS(DesTable[Jumlah (Rp)],DesTable[Tipe],"Pengeluaran",DesTable[Kategori],$A39)</f>
        <v>0</v>
      </c>
      <c r="N39" s="25">
        <f t="shared" si="3"/>
        <v>0</v>
      </c>
      <c r="O39" s="25">
        <f t="shared" si="4"/>
        <v>0</v>
      </c>
      <c r="P39" s="25">
        <f>IFERROR(INDEX(Master!$C$5:$C$81,MATCH($A39,Master!$A$5:$A$81,0)),0)</f>
        <v>1700000</v>
      </c>
      <c r="Q39" s="25">
        <f t="shared" si="5"/>
        <v>-1700000</v>
      </c>
      <c r="AH39">
        <f t="shared" si="6"/>
        <v>3.8999999999999999E-5</v>
      </c>
    </row>
    <row r="40" spans="1:34" x14ac:dyDescent="0.25">
      <c r="A40" s="24" t="s">
        <v>137</v>
      </c>
      <c r="B40" s="25">
        <f>SUMIFS(JanTable[Jumlah (Rp)],JanTable[Tipe],"Pengeluaran",JanTable[Kategori],$A40)</f>
        <v>0</v>
      </c>
      <c r="C40" s="25">
        <f>SUMIFS(FebTable[Jumlah (Rp)],FebTable[Tipe],"Pengeluaran",FebTable[Kategori],$A40)</f>
        <v>0</v>
      </c>
      <c r="D40" s="25">
        <f>SUMIFS(MarTable[Jumlah (Rp)],MarTable[Tipe],"Pengeluaran",MarTable[Kategori],$A40)</f>
        <v>0</v>
      </c>
      <c r="E40" s="25">
        <f>SUMIFS(AprilTable[Jumlah (Rp)],AprilTable[Tipe],"Pengeluaran",AprilTable[Kategori],$A40)</f>
        <v>0</v>
      </c>
      <c r="F40" s="25">
        <f>SUMIFS(MayTable[Jumlah (Rp)],MayTable[Tipe],"Pengeluaran",MayTable[Kategori],$A40)</f>
        <v>0</v>
      </c>
      <c r="G40" s="25">
        <f>SUMIFS(JuneTable[Jumlah (Rp)],JuneTable[Tipe],"Pengeluaran",JuneTable[Kategori],$A40)</f>
        <v>0</v>
      </c>
      <c r="H40" s="25">
        <f>SUMIFS(JulyTable[Jumlah (Rp)],JulyTable[Tipe],"Pengeluaran",JulyTable[Kategori],$A40)</f>
        <v>0</v>
      </c>
      <c r="I40" s="25">
        <f>SUMIFS(AugTable[Jumlah (Rp)],AugTable[Tipe],"Pengeluaran",AugTable[Kategori],$A40)</f>
        <v>0</v>
      </c>
      <c r="J40" s="25">
        <f>SUMIFS(SepTable[Jumlah (Rp)],SepTable[Tipe],"Pengeluaran",SepTable[Kategori],$A40)</f>
        <v>0</v>
      </c>
      <c r="K40" s="25">
        <f>SUMIFS(OktTable[Jumlah (Rp)],OktTable[Tipe],"Pengeluaran",OktTable[Kategori],$A40)</f>
        <v>0</v>
      </c>
      <c r="L40" s="25">
        <f>SUMIFS(NovTable[Jumlah (Rp)],NovTable[Tipe],"Pengeluaran",NovTable[Kategori],$A40)</f>
        <v>0</v>
      </c>
      <c r="M40" s="25">
        <f>SUMIFS(DesTable[Jumlah (Rp)],DesTable[Tipe],"Pengeluaran",DesTable[Kategori],$A40)</f>
        <v>0</v>
      </c>
      <c r="N40" s="25">
        <f t="shared" si="3"/>
        <v>0</v>
      </c>
      <c r="O40" s="25">
        <f t="shared" si="4"/>
        <v>0</v>
      </c>
      <c r="P40" s="25">
        <f>IFERROR(INDEX(Master!$C$5:$C$81,MATCH($A40,Master!$A$5:$A$81,0)),0)</f>
        <v>1800000</v>
      </c>
      <c r="Q40" s="25">
        <f t="shared" si="5"/>
        <v>-1800000</v>
      </c>
      <c r="AH40">
        <f t="shared" si="6"/>
        <v>4.0000000000000003E-5</v>
      </c>
    </row>
    <row r="41" spans="1:34" x14ac:dyDescent="0.25">
      <c r="A41" s="24" t="s">
        <v>138</v>
      </c>
      <c r="B41" s="25">
        <f>SUMIFS(JanTable[Jumlah (Rp)],JanTable[Tipe],"Pengeluaran",JanTable[Kategori],$A41)</f>
        <v>0</v>
      </c>
      <c r="C41" s="25">
        <f>SUMIFS(FebTable[Jumlah (Rp)],FebTable[Tipe],"Pengeluaran",FebTable[Kategori],$A41)</f>
        <v>0</v>
      </c>
      <c r="D41" s="25">
        <f>SUMIFS(MarTable[Jumlah (Rp)],MarTable[Tipe],"Pengeluaran",MarTable[Kategori],$A41)</f>
        <v>0</v>
      </c>
      <c r="E41" s="25">
        <f>SUMIFS(AprilTable[Jumlah (Rp)],AprilTable[Tipe],"Pengeluaran",AprilTable[Kategori],$A41)</f>
        <v>0</v>
      </c>
      <c r="F41" s="25">
        <f>SUMIFS(MayTable[Jumlah (Rp)],MayTable[Tipe],"Pengeluaran",MayTable[Kategori],$A41)</f>
        <v>0</v>
      </c>
      <c r="G41" s="25">
        <f>SUMIFS(JuneTable[Jumlah (Rp)],JuneTable[Tipe],"Pengeluaran",JuneTable[Kategori],$A41)</f>
        <v>0</v>
      </c>
      <c r="H41" s="25">
        <f>SUMIFS(JulyTable[Jumlah (Rp)],JulyTable[Tipe],"Pengeluaran",JulyTable[Kategori],$A41)</f>
        <v>0</v>
      </c>
      <c r="I41" s="25">
        <f>SUMIFS(AugTable[Jumlah (Rp)],AugTable[Tipe],"Pengeluaran",AugTable[Kategori],$A41)</f>
        <v>0</v>
      </c>
      <c r="J41" s="25">
        <f>SUMIFS(SepTable[Jumlah (Rp)],SepTable[Tipe],"Pengeluaran",SepTable[Kategori],$A41)</f>
        <v>0</v>
      </c>
      <c r="K41" s="25">
        <f>SUMIFS(OktTable[Jumlah (Rp)],OktTable[Tipe],"Pengeluaran",OktTable[Kategori],$A41)</f>
        <v>0</v>
      </c>
      <c r="L41" s="25">
        <f>SUMIFS(NovTable[Jumlah (Rp)],NovTable[Tipe],"Pengeluaran",NovTable[Kategori],$A41)</f>
        <v>0</v>
      </c>
      <c r="M41" s="25">
        <f>SUMIFS(DesTable[Jumlah (Rp)],DesTable[Tipe],"Pengeluaran",DesTable[Kategori],$A41)</f>
        <v>0</v>
      </c>
      <c r="N41" s="25">
        <f t="shared" si="3"/>
        <v>0</v>
      </c>
      <c r="O41" s="25">
        <f t="shared" si="4"/>
        <v>0</v>
      </c>
      <c r="P41" s="25">
        <f>IFERROR(INDEX(Master!$C$5:$C$81,MATCH($A41,Master!$A$5:$A$81,0)),0)</f>
        <v>1900000</v>
      </c>
      <c r="Q41" s="25">
        <f t="shared" si="5"/>
        <v>-1900000</v>
      </c>
      <c r="AH41">
        <f t="shared" si="6"/>
        <v>4.1E-5</v>
      </c>
    </row>
    <row r="42" spans="1:34" x14ac:dyDescent="0.25">
      <c r="A42" s="24" t="s">
        <v>139</v>
      </c>
      <c r="B42" s="25">
        <f>SUMIFS(JanTable[Jumlah (Rp)],JanTable[Tipe],"Pengeluaran",JanTable[Kategori],$A42)</f>
        <v>0</v>
      </c>
      <c r="C42" s="25">
        <f>SUMIFS(FebTable[Jumlah (Rp)],FebTable[Tipe],"Pengeluaran",FebTable[Kategori],$A42)</f>
        <v>0</v>
      </c>
      <c r="D42" s="25">
        <f>SUMIFS(MarTable[Jumlah (Rp)],MarTable[Tipe],"Pengeluaran",MarTable[Kategori],$A42)</f>
        <v>0</v>
      </c>
      <c r="E42" s="25">
        <f>SUMIFS(AprilTable[Jumlah (Rp)],AprilTable[Tipe],"Pengeluaran",AprilTable[Kategori],$A42)</f>
        <v>0</v>
      </c>
      <c r="F42" s="25">
        <f>SUMIFS(MayTable[Jumlah (Rp)],MayTable[Tipe],"Pengeluaran",MayTable[Kategori],$A42)</f>
        <v>0</v>
      </c>
      <c r="G42" s="25">
        <f>SUMIFS(JuneTable[Jumlah (Rp)],JuneTable[Tipe],"Pengeluaran",JuneTable[Kategori],$A42)</f>
        <v>0</v>
      </c>
      <c r="H42" s="25">
        <f>SUMIFS(JulyTable[Jumlah (Rp)],JulyTable[Tipe],"Pengeluaran",JulyTable[Kategori],$A42)</f>
        <v>0</v>
      </c>
      <c r="I42" s="25">
        <f>SUMIFS(AugTable[Jumlah (Rp)],AugTable[Tipe],"Pengeluaran",AugTable[Kategori],$A42)</f>
        <v>0</v>
      </c>
      <c r="J42" s="25">
        <f>SUMIFS(SepTable[Jumlah (Rp)],SepTable[Tipe],"Pengeluaran",SepTable[Kategori],$A42)</f>
        <v>0</v>
      </c>
      <c r="K42" s="25">
        <f>SUMIFS(OktTable[Jumlah (Rp)],OktTable[Tipe],"Pengeluaran",OktTable[Kategori],$A42)</f>
        <v>0</v>
      </c>
      <c r="L42" s="25">
        <f>SUMIFS(NovTable[Jumlah (Rp)],NovTable[Tipe],"Pengeluaran",NovTable[Kategori],$A42)</f>
        <v>0</v>
      </c>
      <c r="M42" s="25">
        <f>SUMIFS(DesTable[Jumlah (Rp)],DesTable[Tipe],"Pengeluaran",DesTable[Kategori],$A42)</f>
        <v>0</v>
      </c>
      <c r="N42" s="25">
        <f t="shared" si="3"/>
        <v>0</v>
      </c>
      <c r="O42" s="25">
        <f t="shared" si="4"/>
        <v>0</v>
      </c>
      <c r="P42" s="25">
        <f>IFERROR(INDEX(Master!$C$5:$C$81,MATCH($A42,Master!$A$5:$A$81,0)),0)</f>
        <v>2000000</v>
      </c>
      <c r="Q42" s="25">
        <f t="shared" si="5"/>
        <v>-2000000</v>
      </c>
      <c r="AH42">
        <f t="shared" si="6"/>
        <v>4.1999999999999998E-5</v>
      </c>
    </row>
    <row r="43" spans="1:34" x14ac:dyDescent="0.25">
      <c r="A43" s="24" t="s">
        <v>140</v>
      </c>
      <c r="B43" s="25">
        <f>SUMIFS(JanTable[Jumlah (Rp)],JanTable[Tipe],"Pengeluaran",JanTable[Kategori],$A43)</f>
        <v>0</v>
      </c>
      <c r="C43" s="25">
        <f>SUMIFS(FebTable[Jumlah (Rp)],FebTable[Tipe],"Pengeluaran",FebTable[Kategori],$A43)</f>
        <v>0</v>
      </c>
      <c r="D43" s="25">
        <f>SUMIFS(MarTable[Jumlah (Rp)],MarTable[Tipe],"Pengeluaran",MarTable[Kategori],$A43)</f>
        <v>0</v>
      </c>
      <c r="E43" s="25">
        <f>SUMIFS(AprilTable[Jumlah (Rp)],AprilTable[Tipe],"Pengeluaran",AprilTable[Kategori],$A43)</f>
        <v>0</v>
      </c>
      <c r="F43" s="25">
        <f>SUMIFS(MayTable[Jumlah (Rp)],MayTable[Tipe],"Pengeluaran",MayTable[Kategori],$A43)</f>
        <v>0</v>
      </c>
      <c r="G43" s="25">
        <f>SUMIFS(JuneTable[Jumlah (Rp)],JuneTable[Tipe],"Pengeluaran",JuneTable[Kategori],$A43)</f>
        <v>0</v>
      </c>
      <c r="H43" s="25">
        <f>SUMIFS(JulyTable[Jumlah (Rp)],JulyTable[Tipe],"Pengeluaran",JulyTable[Kategori],$A43)</f>
        <v>0</v>
      </c>
      <c r="I43" s="25">
        <f>SUMIFS(AugTable[Jumlah (Rp)],AugTable[Tipe],"Pengeluaran",AugTable[Kategori],$A43)</f>
        <v>0</v>
      </c>
      <c r="J43" s="25">
        <f>SUMIFS(SepTable[Jumlah (Rp)],SepTable[Tipe],"Pengeluaran",SepTable[Kategori],$A43)</f>
        <v>0</v>
      </c>
      <c r="K43" s="25">
        <f>SUMIFS(OktTable[Jumlah (Rp)],OktTable[Tipe],"Pengeluaran",OktTable[Kategori],$A43)</f>
        <v>0</v>
      </c>
      <c r="L43" s="25">
        <f>SUMIFS(NovTable[Jumlah (Rp)],NovTable[Tipe],"Pengeluaran",NovTable[Kategori],$A43)</f>
        <v>0</v>
      </c>
      <c r="M43" s="25">
        <f>SUMIFS(DesTable[Jumlah (Rp)],DesTable[Tipe],"Pengeluaran",DesTable[Kategori],$A43)</f>
        <v>0</v>
      </c>
      <c r="N43" s="25">
        <f t="shared" si="3"/>
        <v>0</v>
      </c>
      <c r="O43" s="25">
        <f t="shared" si="4"/>
        <v>0</v>
      </c>
      <c r="P43" s="25">
        <f>IFERROR(INDEX(Master!$C$5:$C$81,MATCH($A43,Master!$A$5:$A$81,0)),0)</f>
        <v>2100000</v>
      </c>
      <c r="Q43" s="25">
        <f t="shared" si="5"/>
        <v>-2100000</v>
      </c>
      <c r="AH43">
        <f t="shared" si="6"/>
        <v>4.3000000000000002E-5</v>
      </c>
    </row>
    <row r="44" spans="1:34" x14ac:dyDescent="0.25">
      <c r="A44" s="24" t="s">
        <v>141</v>
      </c>
      <c r="B44" s="25">
        <f>SUMIFS(JanTable[Jumlah (Rp)],JanTable[Tipe],"Pengeluaran",JanTable[Kategori],$A44)</f>
        <v>0</v>
      </c>
      <c r="C44" s="25">
        <f>SUMIFS(FebTable[Jumlah (Rp)],FebTable[Tipe],"Pengeluaran",FebTable[Kategori],$A44)</f>
        <v>0</v>
      </c>
      <c r="D44" s="25">
        <f>SUMIFS(MarTable[Jumlah (Rp)],MarTable[Tipe],"Pengeluaran",MarTable[Kategori],$A44)</f>
        <v>0</v>
      </c>
      <c r="E44" s="25">
        <f>SUMIFS(AprilTable[Jumlah (Rp)],AprilTable[Tipe],"Pengeluaran",AprilTable[Kategori],$A44)</f>
        <v>0</v>
      </c>
      <c r="F44" s="25">
        <f>SUMIFS(MayTable[Jumlah (Rp)],MayTable[Tipe],"Pengeluaran",MayTable[Kategori],$A44)</f>
        <v>0</v>
      </c>
      <c r="G44" s="25">
        <f>SUMIFS(JuneTable[Jumlah (Rp)],JuneTable[Tipe],"Pengeluaran",JuneTable[Kategori],$A44)</f>
        <v>0</v>
      </c>
      <c r="H44" s="25">
        <f>SUMIFS(JulyTable[Jumlah (Rp)],JulyTable[Tipe],"Pengeluaran",JulyTable[Kategori],$A44)</f>
        <v>0</v>
      </c>
      <c r="I44" s="25">
        <f>SUMIFS(AugTable[Jumlah (Rp)],AugTable[Tipe],"Pengeluaran",AugTable[Kategori],$A44)</f>
        <v>0</v>
      </c>
      <c r="J44" s="25">
        <f>SUMIFS(SepTable[Jumlah (Rp)],SepTable[Tipe],"Pengeluaran",SepTable[Kategori],$A44)</f>
        <v>0</v>
      </c>
      <c r="K44" s="25">
        <f>SUMIFS(OktTable[Jumlah (Rp)],OktTable[Tipe],"Pengeluaran",OktTable[Kategori],$A44)</f>
        <v>0</v>
      </c>
      <c r="L44" s="25">
        <f>SUMIFS(NovTable[Jumlah (Rp)],NovTable[Tipe],"Pengeluaran",NovTable[Kategori],$A44)</f>
        <v>0</v>
      </c>
      <c r="M44" s="25">
        <f>SUMIFS(DesTable[Jumlah (Rp)],DesTable[Tipe],"Pengeluaran",DesTable[Kategori],$A44)</f>
        <v>0</v>
      </c>
      <c r="N44" s="25">
        <f t="shared" si="3"/>
        <v>0</v>
      </c>
      <c r="O44" s="25">
        <f t="shared" si="4"/>
        <v>0</v>
      </c>
      <c r="P44" s="25">
        <f>IFERROR(INDEX(Master!$C$5:$C$81,MATCH($A44,Master!$A$5:$A$81,0)),0)</f>
        <v>2200000</v>
      </c>
      <c r="Q44" s="25">
        <f t="shared" si="5"/>
        <v>-2200000</v>
      </c>
      <c r="AH44">
        <f t="shared" si="6"/>
        <v>4.3999999999999999E-5</v>
      </c>
    </row>
    <row r="45" spans="1:34" x14ac:dyDescent="0.25">
      <c r="A45" s="24" t="s">
        <v>142</v>
      </c>
      <c r="B45" s="25">
        <f>SUMIFS(JanTable[Jumlah (Rp)],JanTable[Tipe],"Pengeluaran",JanTable[Kategori],$A45)</f>
        <v>0</v>
      </c>
      <c r="C45" s="25">
        <f>SUMIFS(FebTable[Jumlah (Rp)],FebTable[Tipe],"Pengeluaran",FebTable[Kategori],$A45)</f>
        <v>0</v>
      </c>
      <c r="D45" s="25">
        <f>SUMIFS(MarTable[Jumlah (Rp)],MarTable[Tipe],"Pengeluaran",MarTable[Kategori],$A45)</f>
        <v>0</v>
      </c>
      <c r="E45" s="25">
        <f>SUMIFS(AprilTable[Jumlah (Rp)],AprilTable[Tipe],"Pengeluaran",AprilTable[Kategori],$A45)</f>
        <v>0</v>
      </c>
      <c r="F45" s="25">
        <f>SUMIFS(MayTable[Jumlah (Rp)],MayTable[Tipe],"Pengeluaran",MayTable[Kategori],$A45)</f>
        <v>0</v>
      </c>
      <c r="G45" s="25">
        <f>SUMIFS(JuneTable[Jumlah (Rp)],JuneTable[Tipe],"Pengeluaran",JuneTable[Kategori],$A45)</f>
        <v>0</v>
      </c>
      <c r="H45" s="25">
        <f>SUMIFS(JulyTable[Jumlah (Rp)],JulyTable[Tipe],"Pengeluaran",JulyTable[Kategori],$A45)</f>
        <v>0</v>
      </c>
      <c r="I45" s="25">
        <f>SUMIFS(AugTable[Jumlah (Rp)],AugTable[Tipe],"Pengeluaran",AugTable[Kategori],$A45)</f>
        <v>0</v>
      </c>
      <c r="J45" s="25">
        <f>SUMIFS(SepTable[Jumlah (Rp)],SepTable[Tipe],"Pengeluaran",SepTable[Kategori],$A45)</f>
        <v>0</v>
      </c>
      <c r="K45" s="25">
        <f>SUMIFS(OktTable[Jumlah (Rp)],OktTable[Tipe],"Pengeluaran",OktTable[Kategori],$A45)</f>
        <v>0</v>
      </c>
      <c r="L45" s="25">
        <f>SUMIFS(NovTable[Jumlah (Rp)],NovTable[Tipe],"Pengeluaran",NovTable[Kategori],$A45)</f>
        <v>0</v>
      </c>
      <c r="M45" s="25">
        <f>SUMIFS(DesTable[Jumlah (Rp)],DesTable[Tipe],"Pengeluaran",DesTable[Kategori],$A45)</f>
        <v>0</v>
      </c>
      <c r="N45" s="25">
        <f t="shared" si="3"/>
        <v>0</v>
      </c>
      <c r="O45" s="25">
        <f t="shared" si="4"/>
        <v>0</v>
      </c>
      <c r="P45" s="25">
        <f>IFERROR(INDEX(Master!$C$5:$C$81,MATCH($A45,Master!$A$5:$A$81,0)),0)</f>
        <v>2300000</v>
      </c>
      <c r="Q45" s="25">
        <f t="shared" si="5"/>
        <v>-2300000</v>
      </c>
      <c r="AH45">
        <f t="shared" si="6"/>
        <v>4.5000000000000003E-5</v>
      </c>
    </row>
    <row r="46" spans="1:34" x14ac:dyDescent="0.25">
      <c r="A46" s="27" t="s">
        <v>21</v>
      </c>
      <c r="B46" s="28">
        <f t="shared" ref="B46:N46" si="7">SUM(B23:B45)</f>
        <v>200000</v>
      </c>
      <c r="C46" s="28">
        <f t="shared" si="7"/>
        <v>250000</v>
      </c>
      <c r="D46" s="28">
        <f t="shared" si="7"/>
        <v>0</v>
      </c>
      <c r="E46" s="28">
        <f t="shared" si="7"/>
        <v>0</v>
      </c>
      <c r="F46" s="28">
        <f t="shared" si="7"/>
        <v>0</v>
      </c>
      <c r="G46" s="28">
        <f t="shared" si="7"/>
        <v>0</v>
      </c>
      <c r="H46" s="28">
        <f t="shared" si="7"/>
        <v>0</v>
      </c>
      <c r="I46" s="28">
        <f t="shared" si="7"/>
        <v>0</v>
      </c>
      <c r="J46" s="28">
        <f t="shared" si="7"/>
        <v>400000</v>
      </c>
      <c r="K46" s="28">
        <f t="shared" si="7"/>
        <v>0</v>
      </c>
      <c r="L46" s="28">
        <f t="shared" si="7"/>
        <v>0</v>
      </c>
      <c r="M46" s="28">
        <f t="shared" si="7"/>
        <v>99000</v>
      </c>
      <c r="N46" s="28">
        <f t="shared" si="7"/>
        <v>949000</v>
      </c>
      <c r="O46" s="28">
        <f t="shared" si="4"/>
        <v>237250</v>
      </c>
      <c r="P46" s="28">
        <f>SUM(P23:P45)</f>
        <v>27600000</v>
      </c>
      <c r="Q46" s="28">
        <f t="shared" si="5"/>
        <v>-27362750</v>
      </c>
    </row>
    <row r="48" spans="1:34" ht="18.75" customHeight="1" x14ac:dyDescent="0.3">
      <c r="A48" s="21" t="s">
        <v>41</v>
      </c>
      <c r="D48" s="21" t="s">
        <v>42</v>
      </c>
    </row>
    <row r="49" spans="1:6" x14ac:dyDescent="0.25">
      <c r="A49" s="27" t="s">
        <v>25</v>
      </c>
      <c r="B49" s="27" t="s">
        <v>37</v>
      </c>
      <c r="D49" s="27" t="s">
        <v>43</v>
      </c>
      <c r="E49" s="27" t="s">
        <v>37</v>
      </c>
      <c r="F49" s="27" t="s">
        <v>44</v>
      </c>
    </row>
    <row r="50" spans="1:6" x14ac:dyDescent="0.25">
      <c r="A50" s="24" t="str">
        <f>INDEX($A$23:$A$45,MATCH(LARGE($AH$23:$AH$45,1),$AH$23:$AH$45,0))</f>
        <v>Kategori Uji 04</v>
      </c>
      <c r="B50" s="25">
        <f>INDEX($N$23:$N$45,MATCH(LARGE($AH$23:$AH$45,1),$AH$23:$AH$45,0))</f>
        <v>320000</v>
      </c>
      <c r="D50" s="24" t="s">
        <v>151</v>
      </c>
      <c r="E50" s="25">
        <f>SUMIFS(JanTable[Jumlah (Rp)],JanTable[Tipe],"Pengeluaran",JanTable[Pembayaran],$D50)+SUMIFS(FebTable[Jumlah (Rp)],FebTable[Tipe],"Pengeluaran",FebTable[Pembayaran],$D50)+SUMIFS(MarTable[Jumlah (Rp)],MarTable[Tipe],"Pengeluaran",MarTable[Pembayaran],$D50)+SUMIFS(AprilTable[Jumlah (Rp)],AprilTable[Tipe],"Pengeluaran",AprilTable[Pembayaran],$D50)+SUMIFS(MayTable[Jumlah (Rp)],MayTable[Tipe],"Pengeluaran",MayTable[Pembayaran],$D50)+SUMIFS(JuneTable[Jumlah (Rp)],JuneTable[Tipe],"Pengeluaran",JuneTable[Pembayaran],$D50)+SUMIFS(JulyTable[Jumlah (Rp)],JulyTable[Tipe],"Pengeluaran",JulyTable[Pembayaran],$D50)+SUMIFS(AugTable[Jumlah (Rp)],AugTable[Tipe],"Pengeluaran",AugTable[Pembayaran],$D50)+SUMIFS(SepTable[Jumlah (Rp)],SepTable[Tipe],"Pengeluaran",SepTable[Pembayaran],$D50)+SUMIFS(OktTable[Jumlah (Rp)],OktTable[Tipe],"Pengeluaran",OktTable[Pembayaran],$D50)+SUMIFS(NovTable[Jumlah (Rp)],NovTable[Tipe],"Pengeluaran",NovTable[Pembayaran],$D50)+SUMIFS(DesTable[Jumlah (Rp)],DesTable[Tipe],"Pengeluaran",DesTable[Pembayaran],$D50)</f>
        <v>205000</v>
      </c>
      <c r="F50" s="26">
        <f t="shared" ref="F50:F57" si="8">IFERROR(E50/$C$17,0)</f>
        <v>0.21601685985247629</v>
      </c>
    </row>
    <row r="51" spans="1:6" x14ac:dyDescent="0.25">
      <c r="A51" s="24" t="str">
        <f>INDEX($A$23:$A$45,MATCH(LARGE($AH$23:$AH$45,2),$AH$23:$AH$45,0))</f>
        <v>Kategori Uji 03</v>
      </c>
      <c r="B51" s="25">
        <f>INDEX($N$23:$N$45,MATCH(LARGE($AH$23:$AH$45,2),$AH$23:$AH$45,0))</f>
        <v>250000</v>
      </c>
      <c r="D51" s="24" t="s">
        <v>152</v>
      </c>
      <c r="E51" s="25">
        <f>SUMIFS(JanTable[Jumlah (Rp)],JanTable[Tipe],"Pengeluaran",JanTable[Pembayaran],$D51)+SUMIFS(FebTable[Jumlah (Rp)],FebTable[Tipe],"Pengeluaran",FebTable[Pembayaran],$D51)+SUMIFS(MarTable[Jumlah (Rp)],MarTable[Tipe],"Pengeluaran",MarTable[Pembayaran],$D51)+SUMIFS(AprilTable[Jumlah (Rp)],AprilTable[Tipe],"Pengeluaran",AprilTable[Pembayaran],$D51)+SUMIFS(MayTable[Jumlah (Rp)],MayTable[Tipe],"Pengeluaran",MayTable[Pembayaran],$D51)+SUMIFS(JuneTable[Jumlah (Rp)],JuneTable[Tipe],"Pengeluaran",JuneTable[Pembayaran],$D51)+SUMIFS(JulyTable[Jumlah (Rp)],JulyTable[Tipe],"Pengeluaran",JulyTable[Pembayaran],$D51)+SUMIFS(AugTable[Jumlah (Rp)],AugTable[Tipe],"Pengeluaran",AugTable[Pembayaran],$D51)+SUMIFS(SepTable[Jumlah (Rp)],SepTable[Tipe],"Pengeluaran",SepTable[Pembayaran],$D51)+SUMIFS(OktTable[Jumlah (Rp)],OktTable[Tipe],"Pengeluaran",OktTable[Pembayaran],$D51)+SUMIFS(NovTable[Jumlah (Rp)],NovTable[Tipe],"Pengeluaran",NovTable[Pembayaran],$D51)+SUMIFS(DesTable[Jumlah (Rp)],DesTable[Tipe],"Pengeluaran",DesTable[Pembayaran],$D51)</f>
        <v>250000</v>
      </c>
      <c r="F51" s="26">
        <f t="shared" si="8"/>
        <v>0.26343519494204426</v>
      </c>
    </row>
    <row r="52" spans="1:6" x14ac:dyDescent="0.25">
      <c r="A52" s="24" t="str">
        <f>INDEX($A$23:$A$45,MATCH(LARGE($AH$23:$AH$45,3),$AH$23:$AH$45,0))</f>
        <v>Kategori Uji 01</v>
      </c>
      <c r="B52" s="25">
        <f>INDEX($N$23:$N$45,MATCH(LARGE($AH$23:$AH$45,3),$AH$23:$AH$45,0))</f>
        <v>205000</v>
      </c>
      <c r="D52" s="24" t="s">
        <v>153</v>
      </c>
      <c r="E52" s="25">
        <f>SUMIFS(JanTable[Jumlah (Rp)],JanTable[Tipe],"Pengeluaran",JanTable[Pembayaran],$D52)+SUMIFS(FebTable[Jumlah (Rp)],FebTable[Tipe],"Pengeluaran",FebTable[Pembayaran],$D52)+SUMIFS(MarTable[Jumlah (Rp)],MarTable[Tipe],"Pengeluaran",MarTable[Pembayaran],$D52)+SUMIFS(AprilTable[Jumlah (Rp)],AprilTable[Tipe],"Pengeluaran",AprilTable[Pembayaran],$D52)+SUMIFS(MayTable[Jumlah (Rp)],MayTable[Tipe],"Pengeluaran",MayTable[Pembayaran],$D52)+SUMIFS(JuneTable[Jumlah (Rp)],JuneTable[Tipe],"Pengeluaran",JuneTable[Pembayaran],$D52)+SUMIFS(JulyTable[Jumlah (Rp)],JulyTable[Tipe],"Pengeluaran",JulyTable[Pembayaran],$D52)+SUMIFS(AugTable[Jumlah (Rp)],AugTable[Tipe],"Pengeluaran",AugTable[Pembayaran],$D52)+SUMIFS(SepTable[Jumlah (Rp)],SepTable[Tipe],"Pengeluaran",SepTable[Pembayaran],$D52)+SUMIFS(OktTable[Jumlah (Rp)],OktTable[Tipe],"Pengeluaran",OktTable[Pembayaran],$D52)+SUMIFS(NovTable[Jumlah (Rp)],NovTable[Tipe],"Pengeluaran",NovTable[Pembayaran],$D52)+SUMIFS(DesTable[Jumlah (Rp)],DesTable[Tipe],"Pengeluaran",DesTable[Pembayaran],$D52)</f>
        <v>174000</v>
      </c>
      <c r="F52" s="26">
        <f t="shared" si="8"/>
        <v>0.18335089567966281</v>
      </c>
    </row>
    <row r="53" spans="1:6" x14ac:dyDescent="0.25">
      <c r="A53" s="24" t="str">
        <f>INDEX($A$23:$A$45,MATCH(LARGE($AH$23:$AH$45,4),$AH$23:$AH$45,0))</f>
        <v>Kategori Uji 05</v>
      </c>
      <c r="B53" s="25">
        <f>INDEX($N$23:$N$45,MATCH(LARGE($AH$23:$AH$45,4),$AH$23:$AH$45,0))</f>
        <v>99000</v>
      </c>
      <c r="D53" s="24" t="s">
        <v>154</v>
      </c>
      <c r="E53" s="25">
        <f>SUMIFS(JanTable[Jumlah (Rp)],JanTable[Tipe],"Pengeluaran",JanTable[Pembayaran],$D53)+SUMIFS(FebTable[Jumlah (Rp)],FebTable[Tipe],"Pengeluaran",FebTable[Pembayaran],$D53)+SUMIFS(MarTable[Jumlah (Rp)],MarTable[Tipe],"Pengeluaran",MarTable[Pembayaran],$D53)+SUMIFS(AprilTable[Jumlah (Rp)],AprilTable[Tipe],"Pengeluaran",AprilTable[Pembayaran],$D53)+SUMIFS(MayTable[Jumlah (Rp)],MayTable[Tipe],"Pengeluaran",MayTable[Pembayaran],$D53)+SUMIFS(JuneTable[Jumlah (Rp)],JuneTable[Tipe],"Pengeluaran",JuneTable[Pembayaran],$D53)+SUMIFS(JulyTable[Jumlah (Rp)],JulyTable[Tipe],"Pengeluaran",JulyTable[Pembayaran],$D53)+SUMIFS(AugTable[Jumlah (Rp)],AugTable[Tipe],"Pengeluaran",AugTable[Pembayaran],$D53)+SUMIFS(SepTable[Jumlah (Rp)],SepTable[Tipe],"Pengeluaran",SepTable[Pembayaran],$D53)+SUMIFS(OktTable[Jumlah (Rp)],OktTable[Tipe],"Pengeluaran",OktTable[Pembayaran],$D53)+SUMIFS(NovTable[Jumlah (Rp)],NovTable[Tipe],"Pengeluaran",NovTable[Pembayaran],$D53)+SUMIFS(DesTable[Jumlah (Rp)],DesTable[Tipe],"Pengeluaran",DesTable[Pembayaran],$D53)</f>
        <v>320000</v>
      </c>
      <c r="F53" s="26">
        <f t="shared" si="8"/>
        <v>0.33719704952581664</v>
      </c>
    </row>
    <row r="54" spans="1:6" x14ac:dyDescent="0.25">
      <c r="A54" s="24" t="str">
        <f>INDEX($A$23:$A$45,MATCH(LARGE($AH$23:$AH$45,5),$AH$23:$AH$45,0))</f>
        <v>Kategori Uji 02</v>
      </c>
      <c r="B54" s="25">
        <f>INDEX($N$23:$N$45,MATCH(LARGE($AH$23:$AH$45,5),$AH$23:$AH$45,0))</f>
        <v>75000</v>
      </c>
      <c r="D54" s="24" t="s">
        <v>155</v>
      </c>
      <c r="E54" s="25">
        <f>SUMIFS(JanTable[Jumlah (Rp)],JanTable[Tipe],"Pengeluaran",JanTable[Pembayaran],$D54)+SUMIFS(FebTable[Jumlah (Rp)],FebTable[Tipe],"Pengeluaran",FebTable[Pembayaran],$D54)+SUMIFS(MarTable[Jumlah (Rp)],MarTable[Tipe],"Pengeluaran",MarTable[Pembayaran],$D54)+SUMIFS(AprilTable[Jumlah (Rp)],AprilTable[Tipe],"Pengeluaran",AprilTable[Pembayaran],$D54)+SUMIFS(MayTable[Jumlah (Rp)],MayTable[Tipe],"Pengeluaran",MayTable[Pembayaran],$D54)+SUMIFS(JuneTable[Jumlah (Rp)],JuneTable[Tipe],"Pengeluaran",JuneTable[Pembayaran],$D54)+SUMIFS(JulyTable[Jumlah (Rp)],JulyTable[Tipe],"Pengeluaran",JulyTable[Pembayaran],$D54)+SUMIFS(AugTable[Jumlah (Rp)],AugTable[Tipe],"Pengeluaran",AugTable[Pembayaran],$D54)+SUMIFS(SepTable[Jumlah (Rp)],SepTable[Tipe],"Pengeluaran",SepTable[Pembayaran],$D54)+SUMIFS(OktTable[Jumlah (Rp)],OktTable[Tipe],"Pengeluaran",OktTable[Pembayaran],$D54)+SUMIFS(NovTable[Jumlah (Rp)],NovTable[Tipe],"Pengeluaran",NovTable[Pembayaran],$D54)+SUMIFS(DesTable[Jumlah (Rp)],DesTable[Tipe],"Pengeluaran",DesTable[Pembayaran],$D54)</f>
        <v>0</v>
      </c>
      <c r="F54" s="26">
        <f t="shared" si="8"/>
        <v>0</v>
      </c>
    </row>
    <row r="55" spans="1:6" x14ac:dyDescent="0.25">
      <c r="A55" s="24" t="str">
        <f>INDEX($A$23:$A$45,MATCH(LARGE($AH$23:$AH$45,6),$AH$23:$AH$45,0))</f>
        <v>Kategori Uji 23</v>
      </c>
      <c r="B55" s="25">
        <f>INDEX($N$23:$N$45,MATCH(LARGE($AH$23:$AH$45,6),$AH$23:$AH$45,0))</f>
        <v>0</v>
      </c>
      <c r="D55" s="24" t="s">
        <v>156</v>
      </c>
      <c r="E55" s="25">
        <f>SUMIFS(JanTable[Jumlah (Rp)],JanTable[Tipe],"Pengeluaran",JanTable[Pembayaran],$D55)+SUMIFS(FebTable[Jumlah (Rp)],FebTable[Tipe],"Pengeluaran",FebTable[Pembayaran],$D55)+SUMIFS(MarTable[Jumlah (Rp)],MarTable[Tipe],"Pengeluaran",MarTable[Pembayaran],$D55)+SUMIFS(AprilTable[Jumlah (Rp)],AprilTable[Tipe],"Pengeluaran",AprilTable[Pembayaran],$D55)+SUMIFS(MayTable[Jumlah (Rp)],MayTable[Tipe],"Pengeluaran",MayTable[Pembayaran],$D55)+SUMIFS(JuneTable[Jumlah (Rp)],JuneTable[Tipe],"Pengeluaran",JuneTable[Pembayaran],$D55)+SUMIFS(JulyTable[Jumlah (Rp)],JulyTable[Tipe],"Pengeluaran",JulyTable[Pembayaran],$D55)+SUMIFS(AugTable[Jumlah (Rp)],AugTable[Tipe],"Pengeluaran",AugTable[Pembayaran],$D55)+SUMIFS(SepTable[Jumlah (Rp)],SepTable[Tipe],"Pengeluaran",SepTable[Pembayaran],$D55)+SUMIFS(OktTable[Jumlah (Rp)],OktTable[Tipe],"Pengeluaran",OktTable[Pembayaran],$D55)+SUMIFS(NovTable[Jumlah (Rp)],NovTable[Tipe],"Pengeluaran",NovTable[Pembayaran],$D55)+SUMIFS(DesTable[Jumlah (Rp)],DesTable[Tipe],"Pengeluaran",DesTable[Pembayaran],$D55)</f>
        <v>0</v>
      </c>
      <c r="F55" s="26">
        <f t="shared" si="8"/>
        <v>0</v>
      </c>
    </row>
    <row r="56" spans="1:6" x14ac:dyDescent="0.25">
      <c r="A56" s="24" t="str">
        <f>INDEX($A$23:$A$45,MATCH(LARGE($AH$23:$AH$45,7),$AH$23:$AH$45,0))</f>
        <v>Kategori Uji 22</v>
      </c>
      <c r="B56" s="25">
        <f>INDEX($N$23:$N$45,MATCH(LARGE($AH$23:$AH$45,7),$AH$23:$AH$45,0))</f>
        <v>0</v>
      </c>
      <c r="D56" s="24" t="s">
        <v>157</v>
      </c>
      <c r="E56" s="25">
        <f>SUMIFS(JanTable[Jumlah (Rp)],JanTable[Tipe],"Pengeluaran",JanTable[Pembayaran],$D56)+SUMIFS(FebTable[Jumlah (Rp)],FebTable[Tipe],"Pengeluaran",FebTable[Pembayaran],$D56)+SUMIFS(MarTable[Jumlah (Rp)],MarTable[Tipe],"Pengeluaran",MarTable[Pembayaran],$D56)+SUMIFS(AprilTable[Jumlah (Rp)],AprilTable[Tipe],"Pengeluaran",AprilTable[Pembayaran],$D56)+SUMIFS(MayTable[Jumlah (Rp)],MayTable[Tipe],"Pengeluaran",MayTable[Pembayaran],$D56)+SUMIFS(JuneTable[Jumlah (Rp)],JuneTable[Tipe],"Pengeluaran",JuneTable[Pembayaran],$D56)+SUMIFS(JulyTable[Jumlah (Rp)],JulyTable[Tipe],"Pengeluaran",JulyTable[Pembayaran],$D56)+SUMIFS(AugTable[Jumlah (Rp)],AugTable[Tipe],"Pengeluaran",AugTable[Pembayaran],$D56)+SUMIFS(SepTable[Jumlah (Rp)],SepTable[Tipe],"Pengeluaran",SepTable[Pembayaran],$D56)+SUMIFS(OktTable[Jumlah (Rp)],OktTable[Tipe],"Pengeluaran",OktTable[Pembayaran],$D56)+SUMIFS(NovTable[Jumlah (Rp)],NovTable[Tipe],"Pengeluaran",NovTable[Pembayaran],$D56)+SUMIFS(DesTable[Jumlah (Rp)],DesTable[Tipe],"Pengeluaran",DesTable[Pembayaran],$D56)</f>
        <v>0</v>
      </c>
      <c r="F56" s="26">
        <f t="shared" si="8"/>
        <v>0</v>
      </c>
    </row>
    <row r="57" spans="1:6" x14ac:dyDescent="0.25">
      <c r="A57" s="24" t="str">
        <f>INDEX($A$23:$A$45,MATCH(LARGE($AH$23:$AH$45,8),$AH$23:$AH$45,0))</f>
        <v>Kategori Uji 21</v>
      </c>
      <c r="B57" s="25">
        <f>INDEX($N$23:$N$45,MATCH(LARGE($AH$23:$AH$45,8),$AH$23:$AH$45,0))</f>
        <v>0</v>
      </c>
      <c r="D57" s="24" t="s">
        <v>158</v>
      </c>
      <c r="E57" s="25">
        <f>SUMIFS(JanTable[Jumlah (Rp)],JanTable[Tipe],"Pengeluaran",JanTable[Pembayaran],$D57)+SUMIFS(FebTable[Jumlah (Rp)],FebTable[Tipe],"Pengeluaran",FebTable[Pembayaran],$D57)+SUMIFS(MarTable[Jumlah (Rp)],MarTable[Tipe],"Pengeluaran",MarTable[Pembayaran],$D57)+SUMIFS(AprilTable[Jumlah (Rp)],AprilTable[Tipe],"Pengeluaran",AprilTable[Pembayaran],$D57)+SUMIFS(MayTable[Jumlah (Rp)],MayTable[Tipe],"Pengeluaran",MayTable[Pembayaran],$D57)+SUMIFS(JuneTable[Jumlah (Rp)],JuneTable[Tipe],"Pengeluaran",JuneTable[Pembayaran],$D57)+SUMIFS(JulyTable[Jumlah (Rp)],JulyTable[Tipe],"Pengeluaran",JulyTable[Pembayaran],$D57)+SUMIFS(AugTable[Jumlah (Rp)],AugTable[Tipe],"Pengeluaran",AugTable[Pembayaran],$D57)+SUMIFS(SepTable[Jumlah (Rp)],SepTable[Tipe],"Pengeluaran",SepTable[Pembayaran],$D57)+SUMIFS(OktTable[Jumlah (Rp)],OktTable[Tipe],"Pengeluaran",OktTable[Pembayaran],$D57)+SUMIFS(NovTable[Jumlah (Rp)],NovTable[Tipe],"Pengeluaran",NovTable[Pembayaran],$D57)+SUMIFS(DesTable[Jumlah (Rp)],DesTable[Tipe],"Pengeluaran",DesTable[Pembayaran],$D57)</f>
        <v>0</v>
      </c>
      <c r="F57" s="26">
        <f t="shared" si="8"/>
        <v>0</v>
      </c>
    </row>
    <row r="58" spans="1:6" x14ac:dyDescent="0.25">
      <c r="A58" s="24" t="str">
        <f>INDEX($A$23:$A$45,MATCH(LARGE($AH$23:$AH$45,9),$AH$23:$AH$45,0))</f>
        <v>Kategori Uji 20</v>
      </c>
      <c r="B58" s="25">
        <f>INDEX($N$23:$N$45,MATCH(LARGE($AH$23:$AH$45,9),$AH$23:$AH$45,0))</f>
        <v>0</v>
      </c>
    </row>
    <row r="59" spans="1:6" x14ac:dyDescent="0.25">
      <c r="A59" s="24" t="str">
        <f>INDEX($A$23:$A$45,MATCH(LARGE($AH$23:$AH$45,10),$AH$23:$AH$45,0))</f>
        <v>Kategori Uji 19</v>
      </c>
      <c r="B59" s="25">
        <f>INDEX($N$23:$N$45,MATCH(LARGE($AH$23:$AH$45,10),$AH$23:$AH$45,0))</f>
        <v>0</v>
      </c>
    </row>
  </sheetData>
  <conditionalFormatting sqref="Q23:Q45">
    <cfRule type="cellIs" dxfId="187" priority="1" operator="greaterThan">
      <formula>0</formula>
    </cfRule>
    <cfRule type="cellIs" dxfId="186" priority="2" operator="lessThan">
      <formula>0</formula>
    </cfRule>
  </conditionalFormatting>
  <conditionalFormatting sqref="D5:D16">
    <cfRule type="cellIs" dxfId="185" priority="3" operator="lessThan">
      <formula>0</formula>
    </cfRule>
  </conditionalFormatting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AO79"/>
  <sheetViews>
    <sheetView workbookViewId="0">
      <selection activeCell="M5" sqref="M5"/>
    </sheetView>
  </sheetViews>
  <sheetFormatPr defaultRowHeight="24.75" customHeight="1" x14ac:dyDescent="0.25"/>
  <cols>
    <col min="1" max="1" width="15" customWidth="1"/>
    <col min="2" max="2" width="14" customWidth="1"/>
    <col min="3" max="3" width="20.85546875" customWidth="1"/>
    <col min="4" max="5" width="22.140625" customWidth="1"/>
    <col min="6" max="6" width="46" customWidth="1"/>
    <col min="7" max="7" width="2" customWidth="1"/>
    <col min="8" max="8" width="16.7109375" customWidth="1"/>
    <col min="9" max="9" width="16.42578125" customWidth="1"/>
    <col min="11" max="11" width="26" customWidth="1"/>
    <col min="12" max="12" width="9" customWidth="1"/>
    <col min="13" max="15" width="16" customWidth="1"/>
    <col min="16" max="16" width="19" customWidth="1"/>
    <col min="17" max="17" width="2" customWidth="1"/>
    <col min="18" max="18" width="22" customWidth="1"/>
    <col min="19" max="21" width="15" customWidth="1"/>
    <col min="22" max="22" width="34" customWidth="1"/>
    <col min="30" max="41" width="13" hidden="1" customWidth="1"/>
  </cols>
  <sheetData>
    <row r="1" spans="1:41" ht="24.75" customHeight="1" x14ac:dyDescent="0.25">
      <c r="A1" s="15" t="s">
        <v>45</v>
      </c>
      <c r="B1" s="16">
        <v>2500000</v>
      </c>
      <c r="C1" s="17" t="s">
        <v>46</v>
      </c>
      <c r="D1" s="16">
        <v>2000000</v>
      </c>
      <c r="K1" s="32" t="s">
        <v>47</v>
      </c>
      <c r="L1" s="33"/>
      <c r="M1" s="33"/>
      <c r="N1" s="33"/>
      <c r="O1" s="33"/>
      <c r="P1" s="33"/>
      <c r="Q1" s="33"/>
      <c r="R1" s="32" t="s">
        <v>48</v>
      </c>
      <c r="S1" s="33"/>
      <c r="T1" s="33"/>
      <c r="U1" s="33"/>
      <c r="V1" s="33"/>
      <c r="AD1" s="33">
        <f>DATE(2026,1,1)</f>
        <v>46023</v>
      </c>
      <c r="AE1" s="33"/>
      <c r="AF1" s="33" t="s">
        <v>49</v>
      </c>
      <c r="AG1" s="33"/>
      <c r="AH1" s="33" t="s">
        <v>50</v>
      </c>
      <c r="AI1" s="33" t="s">
        <v>51</v>
      </c>
      <c r="AJ1" s="33" t="str">
        <f>Master!$A$5</f>
        <v>Kategori Uji 01</v>
      </c>
      <c r="AK1" s="33">
        <f>SUMIFS(JanTable[Jumlah (Rp)],JanTable[Tipe],"Pengeluaran",JanTable[Kategori],AJ1)</f>
        <v>125000</v>
      </c>
      <c r="AL1" s="33">
        <v>0</v>
      </c>
      <c r="AM1" s="33">
        <f t="shared" ref="AM1:AM23" si="0">AK1+ROW()/1000000</f>
        <v>125000.00000099999</v>
      </c>
      <c r="AN1" s="33">
        <f>MAX($AM$1:$AM$23)</f>
        <v>125000.00000099999</v>
      </c>
      <c r="AO1" s="33">
        <f>IFERROR(MATCH(AN1,$AM$1:$AM$23,0),0)</f>
        <v>1</v>
      </c>
    </row>
    <row r="2" spans="1:41" ht="24.75" customHeight="1" x14ac:dyDescent="0.25">
      <c r="A2" s="15" t="s">
        <v>5</v>
      </c>
      <c r="B2" s="7">
        <f>IF(B1=0,"",B1-D4)</f>
        <v>-4300000</v>
      </c>
      <c r="C2" s="17" t="s">
        <v>52</v>
      </c>
      <c r="D2" s="2">
        <f>SUMIFS(JanTable[Jumlah (Rp)],JanTable[Tipe],"Pemasukan")</f>
        <v>5000000</v>
      </c>
      <c r="E2" s="8">
        <f>IFERROR(D2/(D2+D3),0)</f>
        <v>0.96153846153846156</v>
      </c>
      <c r="K2" s="34" t="s">
        <v>53</v>
      </c>
      <c r="L2" s="34" t="s">
        <v>54</v>
      </c>
      <c r="M2" s="34" t="s">
        <v>55</v>
      </c>
      <c r="N2" s="34" t="s">
        <v>56</v>
      </c>
      <c r="O2" s="34" t="s">
        <v>57</v>
      </c>
      <c r="P2" s="34" t="s">
        <v>58</v>
      </c>
      <c r="Q2" s="33"/>
      <c r="R2" s="34" t="s">
        <v>59</v>
      </c>
      <c r="S2" s="34" t="s">
        <v>49</v>
      </c>
      <c r="T2" s="34" t="s">
        <v>25</v>
      </c>
      <c r="U2" s="34" t="s">
        <v>60</v>
      </c>
      <c r="V2" s="34" t="s">
        <v>61</v>
      </c>
      <c r="AD2" s="33">
        <f>EOMONTH(AD1,0)</f>
        <v>46053</v>
      </c>
      <c r="AE2" s="33"/>
      <c r="AF2" s="33">
        <v>1</v>
      </c>
      <c r="AG2" s="33">
        <f t="shared" ref="AG2:AG32" si="1">DATE(2026,1,AF2)</f>
        <v>46023</v>
      </c>
      <c r="AH2" s="33">
        <f ca="1">IF(OR(AF2&gt;$AD$4,AF2&gt;$AD$3),NA(),SUMIFS(JanTable[Jumlah (Rp)],JanTable[Tipe],"Pengeluaran",JanTable[Tanggal],"&lt;="&amp;AG2))</f>
        <v>0</v>
      </c>
      <c r="AI2" s="33">
        <f>IF(AF2&gt;$AD$4,NA(),Rekap!$B$19/$AD$4*AF2)</f>
        <v>7653.2258064516127</v>
      </c>
      <c r="AJ2" s="33" t="str">
        <f>Master!$A$6</f>
        <v>Kategori Uji 02</v>
      </c>
      <c r="AK2" s="33">
        <f>SUMIFS(JanTable[Jumlah (Rp)],JanTable[Tipe],"Pengeluaran",JanTable[Kategori],AJ2)</f>
        <v>75000</v>
      </c>
      <c r="AL2" s="33">
        <v>0</v>
      </c>
      <c r="AM2" s="33">
        <f t="shared" si="0"/>
        <v>75000.000002000001</v>
      </c>
      <c r="AN2" s="33">
        <f>SUMPRODUCT(MAX(($AM$1:$AM$23&lt;AN1)*$AM$1:$AM$23))</f>
        <v>75000.000002000001</v>
      </c>
      <c r="AO2" s="33">
        <f>IFERROR(MATCH(AN2,$AM$1:$AM$23,0),0)</f>
        <v>2</v>
      </c>
    </row>
    <row r="3" spans="1:41" ht="24.75" customHeight="1" x14ac:dyDescent="0.25">
      <c r="A3" s="15" t="s">
        <v>6</v>
      </c>
      <c r="B3" s="18">
        <f>IF(D2=0,"",(D2-D3)/D2)</f>
        <v>0.96</v>
      </c>
      <c r="C3" s="19" t="s">
        <v>62</v>
      </c>
      <c r="D3" s="2">
        <f>SUMIFS(JanTable[Jumlah (Rp)],JanTable[Tipe],"Pengeluaran")</f>
        <v>200000</v>
      </c>
      <c r="E3" s="8">
        <f>IFERROR(D3/(D2+D3),0)</f>
        <v>3.8461538461538464E-2</v>
      </c>
      <c r="K3" s="35" t="str">
        <f>"Uang Makan (hari kerja "&amp;TEXT($AD$1-1,"mmmm")&amp;")"</f>
        <v>Uang Makan (hari kerja December)</v>
      </c>
      <c r="L3" s="36">
        <v>10</v>
      </c>
      <c r="M3" s="37">
        <f>$M$10*$M$11</f>
        <v>0</v>
      </c>
      <c r="N3" s="37">
        <f>SUMIFS(JanTable[Jumlah (Rp)],JanTable[Tipe],"Pemasukan",JanTable[Kategori],"Uang Makan")</f>
        <v>0</v>
      </c>
      <c r="O3" s="37">
        <f ca="1">IF(OR(N3&gt;0,TODAY()&gt;$AD$2),0,N(M3))</f>
        <v>0</v>
      </c>
      <c r="P3" s="35" t="str">
        <f ca="1">IF(N3&gt;0,"sudah cair",IF(TODAY()&gt;$AD$2,"bulan sudah lewat",IF(N(M3)=0,"isi estimasi dulu","menunggu tgl 10")))</f>
        <v>bulan sudah lewat</v>
      </c>
      <c r="Q3" s="33"/>
      <c r="R3" s="36">
        <v>1</v>
      </c>
      <c r="S3" s="38">
        <f>IF($AE$6=0,"",INDEX(JanTable[Tanggal],$AE$6))</f>
        <v>46025</v>
      </c>
      <c r="T3" s="35" t="str">
        <f>IF($AE$6=0,"",INDEX(JanTable[Kategori],$AE$6))</f>
        <v>Kategori Uji 01</v>
      </c>
      <c r="U3" s="37">
        <f>IF($AE$6=0,"",INDEX(JanTable[Jumlah (Rp)],$AE$6))</f>
        <v>125000</v>
      </c>
      <c r="V3" s="35" t="str">
        <f>IF($AE$6=0,"",INDEX(JanTable[Keterangan],$AE$6))</f>
        <v>Belanja uji alfa</v>
      </c>
      <c r="AD3" s="33">
        <f ca="1">IF(TODAY()&gt;=AD2,DAY(AD2),IF(TODAY()&lt;AD1,0,DAY(TODAY())))</f>
        <v>31</v>
      </c>
      <c r="AE3" s="33"/>
      <c r="AF3" s="33">
        <v>2</v>
      </c>
      <c r="AG3" s="33">
        <f t="shared" si="1"/>
        <v>46024</v>
      </c>
      <c r="AH3" s="33">
        <f ca="1">IF(OR(AF3&gt;$AD$4,AF3&gt;$AD$3),NA(),SUMIFS(JanTable[Jumlah (Rp)],JanTable[Tipe],"Pengeluaran",JanTable[Tanggal],"&lt;="&amp;AG3))</f>
        <v>0</v>
      </c>
      <c r="AI3" s="33">
        <f>IF(AF3&gt;$AD$4,NA(),Rekap!$B$19/$AD$4*AF3)</f>
        <v>15306.451612903225</v>
      </c>
      <c r="AJ3" s="33" t="str">
        <f>Master!$A$7</f>
        <v>Kategori Uji 03</v>
      </c>
      <c r="AK3" s="33">
        <f>SUMIFS(JanTable[Jumlah (Rp)],JanTable[Tipe],"Pengeluaran",JanTable[Kategori],AJ3)</f>
        <v>0</v>
      </c>
      <c r="AL3" s="33">
        <v>0</v>
      </c>
      <c r="AM3" s="33">
        <f t="shared" si="0"/>
        <v>3.0000000000000001E-6</v>
      </c>
      <c r="AN3" s="33">
        <f>SUMPRODUCT(MAX(($AM$1:$AM$23&lt;AN2)*$AM$1:$AM$23))</f>
        <v>2.3E-5</v>
      </c>
      <c r="AO3" s="33">
        <f>IFERROR(MATCH(AN3,$AM$1:$AM$23,0),0)</f>
        <v>23</v>
      </c>
    </row>
    <row r="4" spans="1:41" ht="24.75" customHeight="1" x14ac:dyDescent="0.25">
      <c r="A4" s="15" t="s">
        <v>63</v>
      </c>
      <c r="B4">
        <f>COUNTA(JanTable[Tanggal])</f>
        <v>3</v>
      </c>
      <c r="C4" s="17" t="s">
        <v>64</v>
      </c>
      <c r="D4" s="20">
        <f>D1+D2-D3</f>
        <v>6800000</v>
      </c>
      <c r="K4" s="35" t="s">
        <v>144</v>
      </c>
      <c r="L4" s="36">
        <v>10</v>
      </c>
      <c r="M4" s="39">
        <v>5000000</v>
      </c>
      <c r="N4" s="37">
        <f>SUMIFS(JanTable[Jumlah (Rp)],JanTable[Tipe],"Pemasukan",JanTable[Kategori],"Gaji")</f>
        <v>0</v>
      </c>
      <c r="O4" s="37">
        <f ca="1">IF(OR(N4&gt;1000000,TODAY()&gt;$AD$2),0,N(M4))</f>
        <v>0</v>
      </c>
      <c r="P4" s="35" t="str">
        <f ca="1">IF(N4&gt;1000000,"sudah cair",IF(TODAY()&gt;$AD$2,"bulan sudah lewat",IF(N(M4)=0,"isi estimasi dulu","menunggu tgl 25")))</f>
        <v>bulan sudah lewat</v>
      </c>
      <c r="Q4" s="33"/>
      <c r="R4" s="36">
        <v>2</v>
      </c>
      <c r="S4" s="38">
        <f>IF($AE$7=0,"",INDEX(JanTable[Tanggal],$AE$7))</f>
        <v>46037</v>
      </c>
      <c r="T4" s="35" t="str">
        <f>IF($AE$7=0,"",INDEX(JanTable[Kategori],$AE$7))</f>
        <v>Kategori Uji 02</v>
      </c>
      <c r="U4" s="37">
        <f>IF($AE$7=0,"",INDEX(JanTable[Jumlah (Rp)],$AE$7))</f>
        <v>75000</v>
      </c>
      <c r="V4" s="35" t="str">
        <f>IF($AE$7=0,"",INDEX(JanTable[Keterangan],$AE$7))</f>
        <v>Belanja uji beta</v>
      </c>
      <c r="AD4" s="33">
        <f>DAY(AD2)</f>
        <v>31</v>
      </c>
      <c r="AE4" s="33"/>
      <c r="AF4" s="33">
        <v>3</v>
      </c>
      <c r="AG4" s="33">
        <f t="shared" si="1"/>
        <v>46025</v>
      </c>
      <c r="AH4" s="33">
        <f ca="1">IF(OR(AF4&gt;$AD$4,AF4&gt;$AD$3),NA(),SUMIFS(JanTable[Jumlah (Rp)],JanTable[Tipe],"Pengeluaran",JanTable[Tanggal],"&lt;="&amp;AG4))</f>
        <v>125000</v>
      </c>
      <c r="AI4" s="33">
        <f>IF(AF4&gt;$AD$4,NA(),Rekap!$B$19/$AD$4*AF4)</f>
        <v>22959.677419354837</v>
      </c>
      <c r="AJ4" s="33" t="str">
        <f>Master!$A$8</f>
        <v>Kategori Uji 04</v>
      </c>
      <c r="AK4" s="33">
        <f>SUMIFS(JanTable[Jumlah (Rp)],JanTable[Tipe],"Pengeluaran",JanTable[Kategori],AJ4)</f>
        <v>0</v>
      </c>
      <c r="AL4" s="33">
        <v>0</v>
      </c>
      <c r="AM4" s="33">
        <f t="shared" si="0"/>
        <v>3.9999999999999998E-6</v>
      </c>
      <c r="AN4" s="33">
        <f>SUMPRODUCT(MAX(($AM$1:$AM$23&lt;AN3)*$AM$1:$AM$23))</f>
        <v>2.1999999999999999E-5</v>
      </c>
      <c r="AO4" s="33">
        <f>IFERROR(MATCH(AN4,$AM$1:$AM$23,0),0)</f>
        <v>22</v>
      </c>
    </row>
    <row r="5" spans="1:41" ht="24.75" customHeight="1" x14ac:dyDescent="0.25">
      <c r="A5" s="1" t="s">
        <v>49</v>
      </c>
      <c r="B5" s="1" t="s">
        <v>65</v>
      </c>
      <c r="C5" s="1" t="s">
        <v>66</v>
      </c>
      <c r="D5" s="1" t="s">
        <v>25</v>
      </c>
      <c r="E5" s="1" t="s">
        <v>67</v>
      </c>
      <c r="F5" s="1" t="s">
        <v>61</v>
      </c>
      <c r="K5" s="35" t="s">
        <v>145</v>
      </c>
      <c r="L5" s="36">
        <v>20</v>
      </c>
      <c r="M5" s="39">
        <v>1000000</v>
      </c>
      <c r="N5" s="37">
        <f>SUMIFS(JanTable[Jumlah (Rp)],JanTable[Tipe],"Pemasukan",JanTable[Kategori],"Freelance")</f>
        <v>0</v>
      </c>
      <c r="O5" s="37">
        <f ca="1">IF(OR(N5&gt;0,TODAY()&gt;$AD$2),0,N(M5))</f>
        <v>0</v>
      </c>
      <c r="P5" s="35" t="str">
        <f ca="1">IF(N5&gt;0,"sudah cair",IF(TODAY()&gt;$AD$2,"bulan sudah lewat",IF(N(M5)=0,"isi estimasi dulu","menunggu tgl 28")))</f>
        <v>bulan sudah lewat</v>
      </c>
      <c r="Q5" s="33"/>
      <c r="R5" s="36">
        <v>3</v>
      </c>
      <c r="S5" s="38">
        <f>IF($AE$8=0,"",INDEX(JanTable[Tanggal],$AE$8))</f>
        <v>46032</v>
      </c>
      <c r="T5" s="35" t="str">
        <f>IF($AE$8=0,"",INDEX(JanTable[Kategori],$AE$8))</f>
        <v>Pendapatan Uji 01</v>
      </c>
      <c r="U5" s="37">
        <f>IF($AE$8=0,"",INDEX(JanTable[Jumlah (Rp)],$AE$8))</f>
        <v>5000000</v>
      </c>
      <c r="V5" s="35" t="str">
        <f>IF($AE$8=0,"",INDEX(JanTable[Keterangan],$AE$8))</f>
        <v>Pemasukan uji alfa</v>
      </c>
      <c r="AD5" s="33"/>
      <c r="AE5" s="33"/>
      <c r="AF5" s="33">
        <v>4</v>
      </c>
      <c r="AG5" s="33">
        <f t="shared" si="1"/>
        <v>46026</v>
      </c>
      <c r="AH5" s="33">
        <f ca="1">IF(OR(AF5&gt;$AD$4,AF5&gt;$AD$3),NA(),SUMIFS(JanTable[Jumlah (Rp)],JanTable[Tipe],"Pengeluaran",JanTable[Tanggal],"&lt;="&amp;AG5))</f>
        <v>125000</v>
      </c>
      <c r="AI5" s="33">
        <f>IF(AF5&gt;$AD$4,NA(),Rekap!$B$19/$AD$4*AF5)</f>
        <v>30612.903225806451</v>
      </c>
      <c r="AJ5" s="33" t="str">
        <f>Master!$A$9</f>
        <v>Kategori Uji 05</v>
      </c>
      <c r="AK5" s="33">
        <f>SUMIFS(JanTable[Jumlah (Rp)],JanTable[Tipe],"Pengeluaran",JanTable[Kategori],AJ5)</f>
        <v>0</v>
      </c>
      <c r="AL5" s="33">
        <v>0</v>
      </c>
      <c r="AM5" s="33">
        <f t="shared" si="0"/>
        <v>5.0000000000000004E-6</v>
      </c>
      <c r="AN5" s="33">
        <f>SUMPRODUCT(MAX(($AM$1:$AM$23&lt;AN4)*$AM$1:$AM$23))</f>
        <v>2.0999999999999999E-5</v>
      </c>
      <c r="AO5" s="33">
        <f>IFERROR(MATCH(AN5,$AM$1:$AM$23,0),0)</f>
        <v>21</v>
      </c>
    </row>
    <row r="6" spans="1:41" ht="24.75" customHeight="1" x14ac:dyDescent="0.25">
      <c r="A6" s="59">
        <v>46025</v>
      </c>
      <c r="B6" s="60" t="s">
        <v>4</v>
      </c>
      <c r="C6" s="60" t="s">
        <v>151</v>
      </c>
      <c r="D6" s="61" t="s">
        <v>120</v>
      </c>
      <c r="E6" s="62">
        <v>125000</v>
      </c>
      <c r="F6" s="63" t="s">
        <v>159</v>
      </c>
      <c r="K6" s="40" t="s">
        <v>21</v>
      </c>
      <c r="L6" s="41"/>
      <c r="M6" s="42">
        <f>SUM(M3:M5)</f>
        <v>6000000</v>
      </c>
      <c r="N6" s="42">
        <f>SUM(N3:N5)</f>
        <v>0</v>
      </c>
      <c r="O6" s="42">
        <f ca="1">SUM(O3:O5)</f>
        <v>0</v>
      </c>
      <c r="P6" s="41"/>
      <c r="Q6" s="33"/>
      <c r="R6" s="36">
        <v>4</v>
      </c>
      <c r="S6" s="38">
        <f>IF($AE$9=0,"",INDEX(JanTable[Tanggal],$AE$9))</f>
        <v>46032</v>
      </c>
      <c r="T6" s="35" t="str">
        <f>IF($AE$9=0,"",INDEX(JanTable[Kategori],$AE$9))</f>
        <v>Pendapatan Uji 01</v>
      </c>
      <c r="U6" s="37">
        <f>IF($AE$9=0,"",INDEX(JanTable[Jumlah (Rp)],$AE$9))</f>
        <v>5000000</v>
      </c>
      <c r="V6" s="35" t="str">
        <f>IF($AE$9=0,"",INDEX(JanTable[Keterangan],$AE$9))</f>
        <v>Pemasukan uji alfa</v>
      </c>
      <c r="AD6" s="33">
        <f>SUMPRODUCT(MAX((JanTable[Tipe]="Pengeluaran")*(JanTable[Jumlah (Rp)]+ROW(JanTable[Jumlah (Rp)])/1000000)))</f>
        <v>125000.000006</v>
      </c>
      <c r="AE6" s="33">
        <f>IFERROR(SUMPRODUCT(MATCH(AD6,(JanTable[Tipe]="Pengeluaran")*(JanTable[Jumlah (Rp)]+ROW(JanTable[Jumlah (Rp)])/1000000),0)),0)</f>
        <v>1</v>
      </c>
      <c r="AF6" s="33">
        <v>5</v>
      </c>
      <c r="AG6" s="33">
        <f t="shared" si="1"/>
        <v>46027</v>
      </c>
      <c r="AH6" s="33">
        <f ca="1">IF(OR(AF6&gt;$AD$4,AF6&gt;$AD$3),NA(),SUMIFS(JanTable[Jumlah (Rp)],JanTable[Tipe],"Pengeluaran",JanTable[Tanggal],"&lt;="&amp;AG6))</f>
        <v>125000</v>
      </c>
      <c r="AI6" s="33">
        <f>IF(AF6&gt;$AD$4,NA(),Rekap!$B$19/$AD$4*AF6)</f>
        <v>38266.129032258061</v>
      </c>
      <c r="AJ6" s="33" t="str">
        <f>Master!$A$10</f>
        <v>Kategori Uji 06</v>
      </c>
      <c r="AK6" s="33">
        <f>SUMIFS(JanTable[Jumlah (Rp)],JanTable[Tipe],"Pengeluaran",JanTable[Kategori],AJ6)</f>
        <v>0</v>
      </c>
      <c r="AL6" s="33">
        <v>0</v>
      </c>
      <c r="AM6" s="33">
        <f t="shared" si="0"/>
        <v>6.0000000000000002E-6</v>
      </c>
      <c r="AN6" s="33"/>
      <c r="AO6" s="33"/>
    </row>
    <row r="7" spans="1:41" ht="24.75" customHeight="1" x14ac:dyDescent="0.25">
      <c r="A7" s="59">
        <v>46032</v>
      </c>
      <c r="B7" s="60" t="s">
        <v>3</v>
      </c>
      <c r="C7" s="60" t="s">
        <v>152</v>
      </c>
      <c r="D7" s="61" t="s">
        <v>144</v>
      </c>
      <c r="E7" s="62">
        <v>5000000</v>
      </c>
      <c r="F7" s="63" t="s">
        <v>160</v>
      </c>
      <c r="K7" s="33"/>
      <c r="L7" s="33"/>
      <c r="M7" s="33"/>
      <c r="N7" s="33"/>
      <c r="O7" s="33"/>
      <c r="P7" s="33"/>
      <c r="Q7" s="33"/>
      <c r="R7" s="36">
        <v>5</v>
      </c>
      <c r="S7" s="38">
        <f>IF($AE$10=0,"",INDEX(JanTable[Tanggal],$AE$10))</f>
        <v>46032</v>
      </c>
      <c r="T7" s="35" t="str">
        <f>IF($AE$10=0,"",INDEX(JanTable[Kategori],$AE$10))</f>
        <v>Pendapatan Uji 01</v>
      </c>
      <c r="U7" s="37">
        <f>IF($AE$10=0,"",INDEX(JanTable[Jumlah (Rp)],$AE$10))</f>
        <v>5000000</v>
      </c>
      <c r="V7" s="35" t="str">
        <f>IF($AE$10=0,"",INDEX(JanTable[Keterangan],$AE$10))</f>
        <v>Pemasukan uji alfa</v>
      </c>
      <c r="AD7" s="33">
        <f>SUMPRODUCT(MAX((JanTable[Tipe]="Pengeluaran")*((JanTable[Jumlah (Rp)]+ROW(JanTable[Jumlah (Rp)])/1000000)&lt;AD6)*(JanTable[Jumlah (Rp)]+ROW(JanTable[Jumlah (Rp)])/1000000)))</f>
        <v>75000.000008000003</v>
      </c>
      <c r="AE7" s="33">
        <f>IFERROR(SUMPRODUCT(MATCH(AD7,(JanTable[Tipe]="Pengeluaran")*(JanTable[Jumlah (Rp)]+ROW(JanTable[Jumlah (Rp)])/1000000),0)),0)</f>
        <v>3</v>
      </c>
      <c r="AF7" s="33">
        <v>6</v>
      </c>
      <c r="AG7" s="33">
        <f t="shared" si="1"/>
        <v>46028</v>
      </c>
      <c r="AH7" s="33">
        <f ca="1">IF(OR(AF7&gt;$AD$4,AF7&gt;$AD$3),NA(),SUMIFS(JanTable[Jumlah (Rp)],JanTable[Tipe],"Pengeluaran",JanTable[Tanggal],"&lt;="&amp;AG7))</f>
        <v>125000</v>
      </c>
      <c r="AI7" s="33">
        <f>IF(AF7&gt;$AD$4,NA(),Rekap!$B$19/$AD$4*AF7)</f>
        <v>45919.354838709674</v>
      </c>
      <c r="AJ7" s="33" t="str">
        <f>Master!$A$11</f>
        <v>Kategori Uji 07</v>
      </c>
      <c r="AK7" s="33">
        <f>SUMIFS(JanTable[Jumlah (Rp)],JanTable[Tipe],"Pengeluaran",JanTable[Kategori],AJ7)</f>
        <v>0</v>
      </c>
      <c r="AL7" s="33">
        <v>0</v>
      </c>
      <c r="AM7" s="33">
        <f t="shared" si="0"/>
        <v>6.9999999999999999E-6</v>
      </c>
      <c r="AN7" s="33"/>
      <c r="AO7" s="33"/>
    </row>
    <row r="8" spans="1:41" ht="24.75" customHeight="1" x14ac:dyDescent="0.25">
      <c r="A8" s="59">
        <v>46037</v>
      </c>
      <c r="B8" s="60" t="s">
        <v>4</v>
      </c>
      <c r="C8" s="60" t="s">
        <v>153</v>
      </c>
      <c r="D8" s="61" t="s">
        <v>121</v>
      </c>
      <c r="E8" s="62">
        <v>75000</v>
      </c>
      <c r="F8" s="63" t="s">
        <v>161</v>
      </c>
      <c r="K8" s="43" t="s">
        <v>68</v>
      </c>
      <c r="L8" s="33"/>
      <c r="M8" s="33"/>
      <c r="N8" s="33"/>
      <c r="O8" s="33"/>
      <c r="P8" s="33"/>
      <c r="Q8" s="33"/>
      <c r="R8" s="52" t="s">
        <v>69</v>
      </c>
      <c r="S8" s="55"/>
      <c r="T8" s="55"/>
      <c r="U8" s="42">
        <f>SUM(U3:U7)</f>
        <v>15200000</v>
      </c>
      <c r="V8" s="44">
        <f>IFERROR(U8/$D$3,0)</f>
        <v>76</v>
      </c>
      <c r="AD8" s="33">
        <f>SUMPRODUCT(MAX((JanTable[Tipe]="Pengeluaran")*((JanTable[Jumlah (Rp)]+ROW(JanTable[Jumlah (Rp)])/1000000)&lt;AD7)*(JanTable[Jumlah (Rp)]+ROW(JanTable[Jumlah (Rp)])/1000000)))</f>
        <v>0</v>
      </c>
      <c r="AE8" s="33">
        <f>IFERROR(SUMPRODUCT(MATCH(AD8,(JanTable[Tipe]="Pengeluaran")*(JanTable[Jumlah (Rp)]+ROW(JanTable[Jumlah (Rp)])/1000000),0)),0)</f>
        <v>2</v>
      </c>
      <c r="AF8" s="33">
        <v>7</v>
      </c>
      <c r="AG8" s="33">
        <f t="shared" si="1"/>
        <v>46029</v>
      </c>
      <c r="AH8" s="33">
        <f ca="1">IF(OR(AF8&gt;$AD$4,AF8&gt;$AD$3),NA(),SUMIFS(JanTable[Jumlah (Rp)],JanTable[Tipe],"Pengeluaran",JanTable[Tanggal],"&lt;="&amp;AG8))</f>
        <v>125000</v>
      </c>
      <c r="AI8" s="33">
        <f>IF(AF8&gt;$AD$4,NA(),Rekap!$B$19/$AD$4*AF8)</f>
        <v>53572.580645161288</v>
      </c>
      <c r="AJ8" s="33" t="str">
        <f>Master!$A$12</f>
        <v>Kategori Uji 08</v>
      </c>
      <c r="AK8" s="33">
        <f>SUMIFS(JanTable[Jumlah (Rp)],JanTable[Tipe],"Pengeluaran",JanTable[Kategori],AJ8)</f>
        <v>0</v>
      </c>
      <c r="AL8" s="33">
        <v>0</v>
      </c>
      <c r="AM8" s="33">
        <f t="shared" si="0"/>
        <v>7.9999999999999996E-6</v>
      </c>
      <c r="AN8" s="33"/>
      <c r="AO8" s="33"/>
    </row>
    <row r="9" spans="1:41" ht="24.75" customHeight="1" x14ac:dyDescent="0.25">
      <c r="A9" s="5"/>
      <c r="B9" s="3"/>
      <c r="C9" s="3"/>
      <c r="D9" s="3"/>
      <c r="E9" s="6"/>
      <c r="F9" s="4"/>
      <c r="K9" s="56" t="s">
        <v>61</v>
      </c>
      <c r="L9" s="53"/>
      <c r="M9" s="34" t="s">
        <v>70</v>
      </c>
      <c r="N9" s="33"/>
      <c r="O9" s="33"/>
      <c r="P9" s="33"/>
      <c r="Q9" s="33"/>
      <c r="R9" s="33"/>
      <c r="S9" s="33"/>
      <c r="T9" s="33"/>
      <c r="U9" s="33"/>
      <c r="V9" s="33"/>
      <c r="AD9" s="33">
        <f>SUMPRODUCT(MAX((JanTable[Tipe]="Pengeluaran")*((JanTable[Jumlah (Rp)]+ROW(JanTable[Jumlah (Rp)])/1000000)&lt;AD8)*(JanTable[Jumlah (Rp)]+ROW(JanTable[Jumlah (Rp)])/1000000)))</f>
        <v>0</v>
      </c>
      <c r="AE9" s="33">
        <f>IFERROR(SUMPRODUCT(MATCH(AD9,(JanTable[Tipe]="Pengeluaran")*(JanTable[Jumlah (Rp)]+ROW(JanTable[Jumlah (Rp)])/1000000),0)),0)</f>
        <v>2</v>
      </c>
      <c r="AF9" s="33">
        <v>8</v>
      </c>
      <c r="AG9" s="33">
        <f t="shared" si="1"/>
        <v>46030</v>
      </c>
      <c r="AH9" s="33">
        <f ca="1">IF(OR(AF9&gt;$AD$4,AF9&gt;$AD$3),NA(),SUMIFS(JanTable[Jumlah (Rp)],JanTable[Tipe],"Pengeluaran",JanTable[Tanggal],"&lt;="&amp;AG9))</f>
        <v>125000</v>
      </c>
      <c r="AI9" s="33">
        <f>IF(AF9&gt;$AD$4,NA(),Rekap!$B$19/$AD$4*AF9)</f>
        <v>61225.806451612902</v>
      </c>
      <c r="AJ9" s="33" t="str">
        <f>Master!$A$13</f>
        <v>Kategori Uji 09</v>
      </c>
      <c r="AK9" s="33">
        <f>SUMIFS(JanTable[Jumlah (Rp)],JanTable[Tipe],"Pengeluaran",JanTable[Kategori],AJ9)</f>
        <v>0</v>
      </c>
      <c r="AL9" s="33">
        <v>0</v>
      </c>
      <c r="AM9" s="33">
        <f t="shared" si="0"/>
        <v>9.0000000000000002E-6</v>
      </c>
      <c r="AN9" s="33"/>
      <c r="AO9" s="33"/>
    </row>
    <row r="10" spans="1:41" ht="24.75" customHeight="1" x14ac:dyDescent="0.25">
      <c r="A10" s="5"/>
      <c r="B10" s="3"/>
      <c r="C10" s="3"/>
      <c r="D10" s="3"/>
      <c r="E10" s="6"/>
      <c r="F10" s="4"/>
      <c r="K10" s="54" t="str">
        <f>"Hari kerja "&amp;TEXT($AD$1-1,"mmmm")</f>
        <v>Hari kerja December</v>
      </c>
      <c r="L10" s="53"/>
      <c r="M10" s="45"/>
      <c r="N10" s="33"/>
      <c r="O10" s="33"/>
      <c r="P10" s="33"/>
      <c r="Q10" s="33"/>
      <c r="R10" s="32" t="s">
        <v>71</v>
      </c>
      <c r="S10" s="33"/>
      <c r="T10" s="33"/>
      <c r="U10" s="33"/>
      <c r="V10" s="33"/>
      <c r="AD10" s="33">
        <f>SUMPRODUCT(MAX((JanTable[Tipe]="Pengeluaran")*((JanTable[Jumlah (Rp)]+ROW(JanTable[Jumlah (Rp)])/1000000)&lt;AD9)*(JanTable[Jumlah (Rp)]+ROW(JanTable[Jumlah (Rp)])/1000000)))</f>
        <v>0</v>
      </c>
      <c r="AE10" s="33">
        <f>IFERROR(SUMPRODUCT(MATCH(AD10,(JanTable[Tipe]="Pengeluaran")*(JanTable[Jumlah (Rp)]+ROW(JanTable[Jumlah (Rp)])/1000000),0)),0)</f>
        <v>2</v>
      </c>
      <c r="AF10" s="33">
        <v>9</v>
      </c>
      <c r="AG10" s="33">
        <f t="shared" si="1"/>
        <v>46031</v>
      </c>
      <c r="AH10" s="33">
        <f ca="1">IF(OR(AF10&gt;$AD$4,AF10&gt;$AD$3),NA(),SUMIFS(JanTable[Jumlah (Rp)],JanTable[Tipe],"Pengeluaran",JanTable[Tanggal],"&lt;="&amp;AG10))</f>
        <v>125000</v>
      </c>
      <c r="AI10" s="33">
        <f>IF(AF10&gt;$AD$4,NA(),Rekap!$B$19/$AD$4*AF10)</f>
        <v>68879.032258064515</v>
      </c>
      <c r="AJ10" s="33" t="str">
        <f>Master!$A$14</f>
        <v>Kategori Uji 10</v>
      </c>
      <c r="AK10" s="33">
        <f>SUMIFS(JanTable[Jumlah (Rp)],JanTable[Tipe],"Pengeluaran",JanTable[Kategori],AJ10)</f>
        <v>0</v>
      </c>
      <c r="AL10" s="33">
        <v>0</v>
      </c>
      <c r="AM10" s="33">
        <f t="shared" si="0"/>
        <v>1.0000000000000001E-5</v>
      </c>
      <c r="AN10" s="33"/>
      <c r="AO10" s="33"/>
    </row>
    <row r="11" spans="1:41" ht="24.75" customHeight="1" x14ac:dyDescent="0.25">
      <c r="A11" s="5"/>
      <c r="B11" s="3"/>
      <c r="C11" s="3"/>
      <c r="D11" s="3"/>
      <c r="E11" s="6"/>
      <c r="F11" s="4"/>
      <c r="K11" s="54" t="s">
        <v>72</v>
      </c>
      <c r="L11" s="53"/>
      <c r="M11" s="39">
        <v>50000</v>
      </c>
      <c r="N11" s="33"/>
      <c r="O11" s="33"/>
      <c r="P11" s="33"/>
      <c r="Q11" s="33"/>
      <c r="R11" s="46" t="s">
        <v>73</v>
      </c>
      <c r="S11" s="33"/>
      <c r="T11" s="33"/>
      <c r="U11" s="33"/>
      <c r="V11" s="33"/>
      <c r="AD11" s="33"/>
      <c r="AE11" s="33"/>
      <c r="AF11" s="33">
        <v>10</v>
      </c>
      <c r="AG11" s="33">
        <f t="shared" si="1"/>
        <v>46032</v>
      </c>
      <c r="AH11" s="33">
        <f ca="1">IF(OR(AF11&gt;$AD$4,AF11&gt;$AD$3),NA(),SUMIFS(JanTable[Jumlah (Rp)],JanTable[Tipe],"Pengeluaran",JanTable[Tanggal],"&lt;="&amp;AG11))</f>
        <v>125000</v>
      </c>
      <c r="AI11" s="33">
        <f>IF(AF11&gt;$AD$4,NA(),Rekap!$B$19/$AD$4*AF11)</f>
        <v>76532.258064516122</v>
      </c>
      <c r="AJ11" s="33" t="str">
        <f>Master!$A$15</f>
        <v>Kategori Uji 11</v>
      </c>
      <c r="AK11" s="33">
        <f>SUMIFS(JanTable[Jumlah (Rp)],JanTable[Tipe],"Pengeluaran",JanTable[Kategori],AJ11)</f>
        <v>0</v>
      </c>
      <c r="AL11" s="33">
        <v>0</v>
      </c>
      <c r="AM11" s="33">
        <f t="shared" si="0"/>
        <v>1.1E-5</v>
      </c>
      <c r="AN11" s="33"/>
      <c r="AO11" s="33"/>
    </row>
    <row r="12" spans="1:41" ht="24.75" customHeight="1" x14ac:dyDescent="0.25">
      <c r="A12" s="5"/>
      <c r="B12" s="3"/>
      <c r="C12" s="3"/>
      <c r="D12" s="3"/>
      <c r="E12" s="6"/>
      <c r="F12" s="4"/>
      <c r="H12" s="9" t="s">
        <v>65</v>
      </c>
      <c r="I12" t="s">
        <v>4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AD12" s="33"/>
      <c r="AE12" s="33"/>
      <c r="AF12" s="33">
        <v>11</v>
      </c>
      <c r="AG12" s="33">
        <f t="shared" si="1"/>
        <v>46033</v>
      </c>
      <c r="AH12" s="33">
        <f ca="1">IF(OR(AF12&gt;$AD$4,AF12&gt;$AD$3),NA(),SUMIFS(JanTable[Jumlah (Rp)],JanTable[Tipe],"Pengeluaran",JanTable[Tanggal],"&lt;="&amp;AG12))</f>
        <v>125000</v>
      </c>
      <c r="AI12" s="33">
        <f>IF(AF12&gt;$AD$4,NA(),Rekap!$B$19/$AD$4*AF12)</f>
        <v>84185.483870967742</v>
      </c>
      <c r="AJ12" s="33" t="str">
        <f>Master!$A$16</f>
        <v>Kategori Uji 12</v>
      </c>
      <c r="AK12" s="33">
        <f>SUMIFS(JanTable[Jumlah (Rp)],JanTable[Tipe],"Pengeluaran",JanTable[Kategori],AJ12)</f>
        <v>0</v>
      </c>
      <c r="AL12" s="33">
        <v>0</v>
      </c>
      <c r="AM12" s="33">
        <f t="shared" si="0"/>
        <v>1.2E-5</v>
      </c>
      <c r="AN12" s="33"/>
      <c r="AO12" s="33"/>
    </row>
    <row r="13" spans="1:41" ht="24.75" customHeight="1" x14ac:dyDescent="0.25">
      <c r="A13" s="5"/>
      <c r="B13" s="3"/>
      <c r="C13" s="3"/>
      <c r="D13" s="3"/>
      <c r="E13" s="6"/>
      <c r="F13" s="4"/>
      <c r="H13" s="57" t="s">
        <v>74</v>
      </c>
      <c r="I13" s="58"/>
      <c r="K13" s="43" t="s">
        <v>75</v>
      </c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AD13" s="33"/>
      <c r="AE13" s="33"/>
      <c r="AF13" s="33">
        <v>12</v>
      </c>
      <c r="AG13" s="33">
        <f t="shared" si="1"/>
        <v>46034</v>
      </c>
      <c r="AH13" s="33">
        <f ca="1">IF(OR(AF13&gt;$AD$4,AF13&gt;$AD$3),NA(),SUMIFS(JanTable[Jumlah (Rp)],JanTable[Tipe],"Pengeluaran",JanTable[Tanggal],"&lt;="&amp;AG13))</f>
        <v>125000</v>
      </c>
      <c r="AI13" s="33">
        <f>IF(AF13&gt;$AD$4,NA(),Rekap!$B$19/$AD$4*AF13)</f>
        <v>91838.709677419349</v>
      </c>
      <c r="AJ13" s="33" t="str">
        <f>Master!$A$17</f>
        <v>Kategori Uji 13</v>
      </c>
      <c r="AK13" s="33">
        <f>SUMIFS(JanTable[Jumlah (Rp)],JanTable[Tipe],"Pengeluaran",JanTable[Kategori],AJ13)</f>
        <v>0</v>
      </c>
      <c r="AL13" s="33">
        <v>0</v>
      </c>
      <c r="AM13" s="33">
        <f t="shared" si="0"/>
        <v>1.2999999999999999E-5</v>
      </c>
      <c r="AN13" s="33"/>
      <c r="AO13" s="33"/>
    </row>
    <row r="14" spans="1:41" ht="24.75" customHeight="1" x14ac:dyDescent="0.25">
      <c r="A14" s="5"/>
      <c r="B14" s="3"/>
      <c r="C14" s="3"/>
      <c r="D14" s="3"/>
      <c r="E14" s="6"/>
      <c r="F14" s="4"/>
      <c r="H14" s="9" t="s">
        <v>25</v>
      </c>
      <c r="I14" t="s">
        <v>76</v>
      </c>
      <c r="K14" s="56" t="s">
        <v>61</v>
      </c>
      <c r="L14" s="53"/>
      <c r="M14" s="34" t="s">
        <v>70</v>
      </c>
      <c r="N14" s="33"/>
      <c r="O14" s="33"/>
      <c r="P14" s="33"/>
      <c r="Q14" s="33"/>
      <c r="R14" s="33"/>
      <c r="S14" s="33"/>
      <c r="T14" s="33"/>
      <c r="U14" s="33"/>
      <c r="V14" s="33"/>
      <c r="AD14" s="33"/>
      <c r="AE14" s="33"/>
      <c r="AF14" s="33">
        <v>13</v>
      </c>
      <c r="AG14" s="33">
        <f t="shared" si="1"/>
        <v>46035</v>
      </c>
      <c r="AH14" s="33">
        <f ca="1">IF(OR(AF14&gt;$AD$4,AF14&gt;$AD$3),NA(),SUMIFS(JanTable[Jumlah (Rp)],JanTable[Tipe],"Pengeluaran",JanTable[Tanggal],"&lt;="&amp;AG14))</f>
        <v>125000</v>
      </c>
      <c r="AI14" s="33">
        <f>IF(AF14&gt;$AD$4,NA(),Rekap!$B$19/$AD$4*AF14)</f>
        <v>99491.93548387097</v>
      </c>
      <c r="AJ14" s="33" t="str">
        <f>Master!$A$18</f>
        <v>Kategori Uji 14</v>
      </c>
      <c r="AK14" s="33">
        <f>SUMIFS(JanTable[Jumlah (Rp)],JanTable[Tipe],"Pengeluaran",JanTable[Kategori],AJ14)</f>
        <v>0</v>
      </c>
      <c r="AL14" s="33">
        <v>0</v>
      </c>
      <c r="AM14" s="33">
        <f t="shared" si="0"/>
        <v>1.4E-5</v>
      </c>
      <c r="AN14" s="33"/>
      <c r="AO14" s="33"/>
    </row>
    <row r="15" spans="1:41" ht="24.75" customHeight="1" x14ac:dyDescent="0.25">
      <c r="A15" s="5"/>
      <c r="B15" s="3"/>
      <c r="C15" s="3"/>
      <c r="D15" s="3"/>
      <c r="E15" s="6"/>
      <c r="F15" s="4"/>
      <c r="H15" s="10" t="s">
        <v>120</v>
      </c>
      <c r="I15" s="7">
        <v>125000</v>
      </c>
      <c r="K15" s="54" t="s">
        <v>77</v>
      </c>
      <c r="L15" s="53"/>
      <c r="M15" s="37">
        <f>D2</f>
        <v>5000000</v>
      </c>
      <c r="N15" s="33"/>
      <c r="O15" s="33"/>
      <c r="P15" s="33"/>
      <c r="Q15" s="33"/>
      <c r="R15" s="33"/>
      <c r="S15" s="33"/>
      <c r="T15" s="33"/>
      <c r="U15" s="33"/>
      <c r="V15" s="33"/>
      <c r="AD15" s="33"/>
      <c r="AE15" s="33"/>
      <c r="AF15" s="33">
        <v>14</v>
      </c>
      <c r="AG15" s="33">
        <f t="shared" si="1"/>
        <v>46036</v>
      </c>
      <c r="AH15" s="33">
        <f ca="1">IF(OR(AF15&gt;$AD$4,AF15&gt;$AD$3),NA(),SUMIFS(JanTable[Jumlah (Rp)],JanTable[Tipe],"Pengeluaran",JanTable[Tanggal],"&lt;="&amp;AG15))</f>
        <v>125000</v>
      </c>
      <c r="AI15" s="33">
        <f>IF(AF15&gt;$AD$4,NA(),Rekap!$B$19/$AD$4*AF15)</f>
        <v>107145.16129032258</v>
      </c>
      <c r="AJ15" s="33" t="str">
        <f>Master!$A$19</f>
        <v>Kategori Uji 15</v>
      </c>
      <c r="AK15" s="33">
        <f>SUMIFS(JanTable[Jumlah (Rp)],JanTable[Tipe],"Pengeluaran",JanTable[Kategori],AJ15)</f>
        <v>0</v>
      </c>
      <c r="AL15" s="33">
        <v>0</v>
      </c>
      <c r="AM15" s="33">
        <f t="shared" si="0"/>
        <v>1.5E-5</v>
      </c>
      <c r="AN15" s="33"/>
      <c r="AO15" s="33"/>
    </row>
    <row r="16" spans="1:41" ht="24.75" customHeight="1" x14ac:dyDescent="0.25">
      <c r="A16" s="5"/>
      <c r="B16" s="3"/>
      <c r="C16" s="3"/>
      <c r="D16" s="3"/>
      <c r="E16" s="6"/>
      <c r="F16" s="4"/>
      <c r="H16" s="10" t="s">
        <v>121</v>
      </c>
      <c r="I16" s="7">
        <v>75000</v>
      </c>
      <c r="K16" s="54" t="s">
        <v>57</v>
      </c>
      <c r="L16" s="53"/>
      <c r="M16" s="37">
        <f ca="1">O6</f>
        <v>0</v>
      </c>
      <c r="N16" s="33"/>
      <c r="O16" s="33"/>
      <c r="P16" s="33"/>
      <c r="Q16" s="33"/>
      <c r="R16" s="33"/>
      <c r="S16" s="33"/>
      <c r="T16" s="33"/>
      <c r="U16" s="33"/>
      <c r="V16" s="33"/>
      <c r="AD16" s="33"/>
      <c r="AE16" s="33"/>
      <c r="AF16" s="33">
        <v>15</v>
      </c>
      <c r="AG16" s="33">
        <f t="shared" si="1"/>
        <v>46037</v>
      </c>
      <c r="AH16" s="33">
        <f ca="1">IF(OR(AF16&gt;$AD$4,AF16&gt;$AD$3),NA(),SUMIFS(JanTable[Jumlah (Rp)],JanTable[Tipe],"Pengeluaran",JanTable[Tanggal],"&lt;="&amp;AG16))</f>
        <v>200000</v>
      </c>
      <c r="AI16" s="33">
        <f>IF(AF16&gt;$AD$4,NA(),Rekap!$B$19/$AD$4*AF16)</f>
        <v>114798.3870967742</v>
      </c>
      <c r="AJ16" s="33" t="str">
        <f>Master!$A$20</f>
        <v>Kategori Uji 16</v>
      </c>
      <c r="AK16" s="33">
        <f>SUMIFS(JanTable[Jumlah (Rp)],JanTable[Tipe],"Pengeluaran",JanTable[Kategori],AJ16)</f>
        <v>0</v>
      </c>
      <c r="AL16" s="33">
        <v>0</v>
      </c>
      <c r="AM16" s="33">
        <f t="shared" si="0"/>
        <v>1.5999999999999999E-5</v>
      </c>
      <c r="AN16" s="33"/>
      <c r="AO16" s="33"/>
    </row>
    <row r="17" spans="1:41" ht="24.75" customHeight="1" x14ac:dyDescent="0.25">
      <c r="A17" s="5"/>
      <c r="B17" s="3"/>
      <c r="C17" s="3"/>
      <c r="D17" s="3"/>
      <c r="E17" s="6"/>
      <c r="F17" s="4"/>
      <c r="H17" s="10" t="s">
        <v>92</v>
      </c>
      <c r="I17" s="7">
        <v>200000</v>
      </c>
      <c r="K17" s="54" t="s">
        <v>78</v>
      </c>
      <c r="L17" s="53"/>
      <c r="M17" s="37">
        <f ca="1">M15+M16</f>
        <v>5000000</v>
      </c>
      <c r="N17" s="33"/>
      <c r="O17" s="33"/>
      <c r="P17" s="33"/>
      <c r="Q17" s="33"/>
      <c r="R17" s="33"/>
      <c r="S17" s="33"/>
      <c r="T17" s="33"/>
      <c r="U17" s="33"/>
      <c r="V17" s="33"/>
      <c r="AD17" s="33"/>
      <c r="AE17" s="33"/>
      <c r="AF17" s="33">
        <v>16</v>
      </c>
      <c r="AG17" s="33">
        <f t="shared" si="1"/>
        <v>46038</v>
      </c>
      <c r="AH17" s="33">
        <f ca="1">IF(OR(AF17&gt;$AD$4,AF17&gt;$AD$3),NA(),SUMIFS(JanTable[Jumlah (Rp)],JanTable[Tipe],"Pengeluaran",JanTable[Tanggal],"&lt;="&amp;AG17))</f>
        <v>200000</v>
      </c>
      <c r="AI17" s="33">
        <f>IF(AF17&gt;$AD$4,NA(),Rekap!$B$19/$AD$4*AF17)</f>
        <v>122451.6129032258</v>
      </c>
      <c r="AJ17" s="33" t="str">
        <f>Master!$A$21</f>
        <v>Kategori Uji 17</v>
      </c>
      <c r="AK17" s="33">
        <f>SUMIFS(JanTable[Jumlah (Rp)],JanTable[Tipe],"Pengeluaran",JanTable[Kategori],AJ17)</f>
        <v>0</v>
      </c>
      <c r="AL17" s="33">
        <v>0</v>
      </c>
      <c r="AM17" s="33">
        <f t="shared" si="0"/>
        <v>1.7E-5</v>
      </c>
      <c r="AN17" s="33"/>
      <c r="AO17" s="33"/>
    </row>
    <row r="18" spans="1:41" ht="24.75" customHeight="1" x14ac:dyDescent="0.25">
      <c r="A18" s="5"/>
      <c r="B18" s="3"/>
      <c r="C18" s="3"/>
      <c r="D18" s="3"/>
      <c r="E18" s="6"/>
      <c r="F18" s="4"/>
      <c r="K18" s="54" t="s">
        <v>79</v>
      </c>
      <c r="L18" s="53"/>
      <c r="M18" s="37">
        <f ca="1">M29</f>
        <v>200000</v>
      </c>
      <c r="N18" s="33"/>
      <c r="O18" s="33"/>
      <c r="P18" s="33"/>
      <c r="Q18" s="33"/>
      <c r="R18" s="33"/>
      <c r="S18" s="33"/>
      <c r="T18" s="33"/>
      <c r="U18" s="33"/>
      <c r="V18" s="33"/>
      <c r="AD18" s="33"/>
      <c r="AE18" s="33"/>
      <c r="AF18" s="33">
        <v>17</v>
      </c>
      <c r="AG18" s="33">
        <f t="shared" si="1"/>
        <v>46039</v>
      </c>
      <c r="AH18" s="33">
        <f ca="1">IF(OR(AF18&gt;$AD$4,AF18&gt;$AD$3),NA(),SUMIFS(JanTable[Jumlah (Rp)],JanTable[Tipe],"Pengeluaran",JanTable[Tanggal],"&lt;="&amp;AG18))</f>
        <v>200000</v>
      </c>
      <c r="AI18" s="33">
        <f>IF(AF18&gt;$AD$4,NA(),Rekap!$B$19/$AD$4*AF18)</f>
        <v>130104.83870967741</v>
      </c>
      <c r="AJ18" s="33" t="str">
        <f>Master!$A$22</f>
        <v>Kategori Uji 18</v>
      </c>
      <c r="AK18" s="33">
        <f>SUMIFS(JanTable[Jumlah (Rp)],JanTable[Tipe],"Pengeluaran",JanTable[Kategori],AJ18)</f>
        <v>0</v>
      </c>
      <c r="AL18" s="33">
        <v>0</v>
      </c>
      <c r="AM18" s="33">
        <f t="shared" si="0"/>
        <v>1.8E-5</v>
      </c>
      <c r="AN18" s="33"/>
      <c r="AO18" s="33"/>
    </row>
    <row r="19" spans="1:41" ht="24.75" customHeight="1" x14ac:dyDescent="0.25">
      <c r="A19" s="5"/>
      <c r="B19" s="3"/>
      <c r="C19" s="3"/>
      <c r="D19" s="3"/>
      <c r="E19" s="6"/>
      <c r="F19" s="4"/>
      <c r="K19" s="52" t="s">
        <v>80</v>
      </c>
      <c r="L19" s="53"/>
      <c r="M19" s="42">
        <f ca="1">M17-M18</f>
        <v>4800000</v>
      </c>
      <c r="N19" s="33"/>
      <c r="O19" s="33"/>
      <c r="P19" s="33"/>
      <c r="Q19" s="33"/>
      <c r="R19" s="33"/>
      <c r="S19" s="33"/>
      <c r="T19" s="33"/>
      <c r="U19" s="33"/>
      <c r="V19" s="33"/>
      <c r="AD19" s="33"/>
      <c r="AE19" s="33"/>
      <c r="AF19" s="33">
        <v>18</v>
      </c>
      <c r="AG19" s="33">
        <f t="shared" si="1"/>
        <v>46040</v>
      </c>
      <c r="AH19" s="33">
        <f ca="1">IF(OR(AF19&gt;$AD$4,AF19&gt;$AD$3),NA(),SUMIFS(JanTable[Jumlah (Rp)],JanTable[Tipe],"Pengeluaran",JanTable[Tanggal],"&lt;="&amp;AG19))</f>
        <v>200000</v>
      </c>
      <c r="AI19" s="33">
        <f>IF(AF19&gt;$AD$4,NA(),Rekap!$B$19/$AD$4*AF19)</f>
        <v>137758.06451612903</v>
      </c>
      <c r="AJ19" s="33" t="str">
        <f>Master!$A$23</f>
        <v>Kategori Uji 19</v>
      </c>
      <c r="AK19" s="33">
        <f>SUMIFS(JanTable[Jumlah (Rp)],JanTable[Tipe],"Pengeluaran",JanTable[Kategori],AJ19)</f>
        <v>0</v>
      </c>
      <c r="AL19" s="33">
        <v>0</v>
      </c>
      <c r="AM19" s="33">
        <f t="shared" si="0"/>
        <v>1.9000000000000001E-5</v>
      </c>
      <c r="AN19" s="33"/>
      <c r="AO19" s="33"/>
    </row>
    <row r="20" spans="1:41" ht="24.75" customHeight="1" x14ac:dyDescent="0.25">
      <c r="A20" s="5"/>
      <c r="B20" s="3"/>
      <c r="C20" s="3"/>
      <c r="D20" s="3"/>
      <c r="E20" s="6"/>
      <c r="F20" s="4"/>
      <c r="K20" s="52" t="s">
        <v>81</v>
      </c>
      <c r="L20" s="53"/>
      <c r="M20" s="42">
        <f ca="1">D1+M17-M18</f>
        <v>6800000</v>
      </c>
      <c r="N20" s="33"/>
      <c r="O20" s="33"/>
      <c r="P20" s="33"/>
      <c r="Q20" s="33"/>
      <c r="R20" s="33"/>
      <c r="S20" s="33"/>
      <c r="T20" s="33"/>
      <c r="U20" s="33"/>
      <c r="V20" s="33"/>
      <c r="AD20" s="33"/>
      <c r="AE20" s="33"/>
      <c r="AF20" s="33">
        <v>19</v>
      </c>
      <c r="AG20" s="33">
        <f t="shared" si="1"/>
        <v>46041</v>
      </c>
      <c r="AH20" s="33">
        <f ca="1">IF(OR(AF20&gt;$AD$4,AF20&gt;$AD$3),NA(),SUMIFS(JanTable[Jumlah (Rp)],JanTable[Tipe],"Pengeluaran",JanTable[Tanggal],"&lt;="&amp;AG20))</f>
        <v>200000</v>
      </c>
      <c r="AI20" s="33">
        <f>IF(AF20&gt;$AD$4,NA(),Rekap!$B$19/$AD$4*AF20)</f>
        <v>145411.29032258064</v>
      </c>
      <c r="AJ20" s="33" t="str">
        <f>Master!$A$24</f>
        <v>Kategori Uji 20</v>
      </c>
      <c r="AK20" s="33">
        <f>SUMIFS(JanTable[Jumlah (Rp)],JanTable[Tipe],"Pengeluaran",JanTable[Kategori],AJ20)</f>
        <v>0</v>
      </c>
      <c r="AL20" s="33">
        <v>0</v>
      </c>
      <c r="AM20" s="33">
        <f t="shared" si="0"/>
        <v>2.0000000000000002E-5</v>
      </c>
      <c r="AN20" s="33"/>
      <c r="AO20" s="33"/>
    </row>
    <row r="21" spans="1:41" ht="24.75" customHeight="1" x14ac:dyDescent="0.25">
      <c r="A21" s="5"/>
      <c r="B21" s="3"/>
      <c r="C21" s="3"/>
      <c r="D21" s="3"/>
      <c r="E21" s="6"/>
      <c r="F21" s="4"/>
      <c r="K21" s="46" t="s">
        <v>82</v>
      </c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AD21" s="33"/>
      <c r="AE21" s="33"/>
      <c r="AF21" s="33">
        <v>20</v>
      </c>
      <c r="AG21" s="33">
        <f t="shared" si="1"/>
        <v>46042</v>
      </c>
      <c r="AH21" s="33">
        <f ca="1">IF(OR(AF21&gt;$AD$4,AF21&gt;$AD$3),NA(),SUMIFS(JanTable[Jumlah (Rp)],JanTable[Tipe],"Pengeluaran",JanTable[Tanggal],"&lt;="&amp;AG21))</f>
        <v>200000</v>
      </c>
      <c r="AI21" s="33">
        <f>IF(AF21&gt;$AD$4,NA(),Rekap!$B$19/$AD$4*AF21)</f>
        <v>153064.51612903224</v>
      </c>
      <c r="AJ21" s="33" t="str">
        <f>Master!$A$25</f>
        <v>Kategori Uji 21</v>
      </c>
      <c r="AK21" s="33">
        <f>SUMIFS(JanTable[Jumlah (Rp)],JanTable[Tipe],"Pengeluaran",JanTable[Kategori],AJ21)</f>
        <v>0</v>
      </c>
      <c r="AL21" s="33">
        <v>0</v>
      </c>
      <c r="AM21" s="33">
        <f t="shared" si="0"/>
        <v>2.0999999999999999E-5</v>
      </c>
      <c r="AN21" s="33"/>
      <c r="AO21" s="33"/>
    </row>
    <row r="22" spans="1:41" ht="24.75" customHeight="1" x14ac:dyDescent="0.25">
      <c r="A22" s="5"/>
      <c r="B22" s="3"/>
      <c r="C22" s="3"/>
      <c r="D22" s="3"/>
      <c r="E22" s="6"/>
      <c r="F22" s="4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AD22" s="33"/>
      <c r="AE22" s="33"/>
      <c r="AF22" s="33">
        <v>21</v>
      </c>
      <c r="AG22" s="33">
        <f t="shared" si="1"/>
        <v>46043</v>
      </c>
      <c r="AH22" s="33">
        <f ca="1">IF(OR(AF22&gt;$AD$4,AF22&gt;$AD$3),NA(),SUMIFS(JanTable[Jumlah (Rp)],JanTable[Tipe],"Pengeluaran",JanTable[Tanggal],"&lt;="&amp;AG22))</f>
        <v>200000</v>
      </c>
      <c r="AI22" s="33">
        <f>IF(AF22&gt;$AD$4,NA(),Rekap!$B$19/$AD$4*AF22)</f>
        <v>160717.74193548388</v>
      </c>
      <c r="AJ22" s="33" t="str">
        <f>Master!$A$27</f>
        <v>Kategori Uji 23</v>
      </c>
      <c r="AK22" s="33">
        <f>SUMIFS(JanTable[Jumlah (Rp)],JanTable[Tipe],"Pengeluaran",JanTable[Kategori],AJ22)</f>
        <v>0</v>
      </c>
      <c r="AL22" s="33">
        <v>0</v>
      </c>
      <c r="AM22" s="33">
        <f t="shared" si="0"/>
        <v>2.1999999999999999E-5</v>
      </c>
      <c r="AN22" s="33"/>
      <c r="AO22" s="33"/>
    </row>
    <row r="23" spans="1:41" ht="24.75" customHeight="1" x14ac:dyDescent="0.25">
      <c r="A23" s="5"/>
      <c r="B23" s="3"/>
      <c r="C23" s="3"/>
      <c r="D23" s="3"/>
      <c r="E23" s="6"/>
      <c r="F23" s="4"/>
      <c r="K23" s="32" t="s">
        <v>83</v>
      </c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AD23" s="33"/>
      <c r="AE23" s="33"/>
      <c r="AF23" s="33">
        <v>22</v>
      </c>
      <c r="AG23" s="33">
        <f t="shared" si="1"/>
        <v>46044</v>
      </c>
      <c r="AH23" s="33">
        <f ca="1">IF(OR(AF23&gt;$AD$4,AF23&gt;$AD$3),NA(),SUMIFS(JanTable[Jumlah (Rp)],JanTable[Tipe],"Pengeluaran",JanTable[Tanggal],"&lt;="&amp;AG23))</f>
        <v>200000</v>
      </c>
      <c r="AI23" s="33">
        <f>IF(AF23&gt;$AD$4,NA(),Rekap!$B$19/$AD$4*AF23)</f>
        <v>168370.96774193548</v>
      </c>
      <c r="AJ23" s="33" t="str">
        <f>Master!$A$28</f>
        <v>Kategori Uji 24</v>
      </c>
      <c r="AK23" s="33">
        <f>SUMIFS(JanTable[Jumlah (Rp)],JanTable[Tipe],"Pengeluaran",JanTable[Kategori],AJ23)</f>
        <v>0</v>
      </c>
      <c r="AL23" s="33">
        <v>0</v>
      </c>
      <c r="AM23" s="33">
        <f t="shared" si="0"/>
        <v>2.3E-5</v>
      </c>
      <c r="AN23" s="33"/>
      <c r="AO23" s="33"/>
    </row>
    <row r="24" spans="1:41" ht="24.75" customHeight="1" x14ac:dyDescent="0.25">
      <c r="A24" s="5"/>
      <c r="B24" s="3"/>
      <c r="C24" s="3"/>
      <c r="D24" s="3"/>
      <c r="E24" s="6"/>
      <c r="F24" s="4"/>
      <c r="K24" s="56" t="s">
        <v>84</v>
      </c>
      <c r="L24" s="53"/>
      <c r="M24" s="34" t="s">
        <v>70</v>
      </c>
      <c r="N24" s="33"/>
      <c r="O24" s="33"/>
      <c r="P24" s="33"/>
      <c r="Q24" s="33"/>
      <c r="R24" s="33"/>
      <c r="S24" s="33"/>
      <c r="T24" s="33"/>
      <c r="U24" s="33"/>
      <c r="V24" s="33"/>
      <c r="AD24" s="33"/>
      <c r="AE24" s="33"/>
      <c r="AF24" s="33">
        <v>23</v>
      </c>
      <c r="AG24" s="33">
        <f t="shared" si="1"/>
        <v>46045</v>
      </c>
      <c r="AH24" s="33">
        <f ca="1">IF(OR(AF24&gt;$AD$4,AF24&gt;$AD$3),NA(),SUMIFS(JanTable[Jumlah (Rp)],JanTable[Tipe],"Pengeluaran",JanTable[Tanggal],"&lt;="&amp;AG24))</f>
        <v>200000</v>
      </c>
      <c r="AI24" s="33">
        <f>IF(AF24&gt;$AD$4,NA(),Rekap!$B$19/$AD$4*AF24)</f>
        <v>176024.19354838709</v>
      </c>
      <c r="AJ24" s="33"/>
      <c r="AK24" s="33"/>
      <c r="AL24" s="33"/>
      <c r="AM24" s="33"/>
      <c r="AN24" s="33"/>
      <c r="AO24" s="33"/>
    </row>
    <row r="25" spans="1:41" ht="24.75" customHeight="1" x14ac:dyDescent="0.25">
      <c r="A25" s="5"/>
      <c r="B25" s="3"/>
      <c r="C25" s="3"/>
      <c r="D25" s="3"/>
      <c r="E25" s="6"/>
      <c r="F25" s="4"/>
      <c r="K25" s="54" t="s">
        <v>85</v>
      </c>
      <c r="L25" s="53"/>
      <c r="M25" s="47">
        <f ca="1">AD3</f>
        <v>31</v>
      </c>
      <c r="N25" s="33"/>
      <c r="O25" s="33"/>
      <c r="P25" s="33"/>
      <c r="Q25" s="33"/>
      <c r="R25" s="32" t="s">
        <v>86</v>
      </c>
      <c r="S25" s="33"/>
      <c r="T25" s="33"/>
      <c r="U25" s="33"/>
      <c r="V25" s="33"/>
      <c r="AD25" s="33"/>
      <c r="AE25" s="33"/>
      <c r="AF25" s="33">
        <v>24</v>
      </c>
      <c r="AG25" s="33">
        <f t="shared" si="1"/>
        <v>46046</v>
      </c>
      <c r="AH25" s="33">
        <f ca="1">IF(OR(AF25&gt;$AD$4,AF25&gt;$AD$3),NA(),SUMIFS(JanTable[Jumlah (Rp)],JanTable[Tipe],"Pengeluaran",JanTable[Tanggal],"&lt;="&amp;AG25))</f>
        <v>200000</v>
      </c>
      <c r="AI25" s="33">
        <f>IF(AF25&gt;$AD$4,NA(),Rekap!$B$19/$AD$4*AF25)</f>
        <v>183677.4193548387</v>
      </c>
      <c r="AJ25" s="33"/>
      <c r="AK25" s="33"/>
      <c r="AL25" s="33"/>
      <c r="AM25" s="33"/>
      <c r="AN25" s="33"/>
      <c r="AO25" s="33"/>
    </row>
    <row r="26" spans="1:41" ht="24.75" customHeight="1" x14ac:dyDescent="0.25">
      <c r="A26" s="5"/>
      <c r="B26" s="3"/>
      <c r="C26" s="3"/>
      <c r="D26" s="3"/>
      <c r="E26" s="6"/>
      <c r="F26" s="4"/>
      <c r="K26" s="54" t="s">
        <v>87</v>
      </c>
      <c r="L26" s="53"/>
      <c r="M26" s="47">
        <f>AD4</f>
        <v>31</v>
      </c>
      <c r="N26" s="33"/>
      <c r="O26" s="33"/>
      <c r="P26" s="33"/>
      <c r="Q26" s="33"/>
      <c r="R26" s="33"/>
      <c r="S26" s="33"/>
      <c r="T26" s="33"/>
      <c r="U26" s="33"/>
      <c r="V26" s="33"/>
      <c r="AD26" s="33"/>
      <c r="AE26" s="33"/>
      <c r="AF26" s="33">
        <v>25</v>
      </c>
      <c r="AG26" s="33">
        <f t="shared" si="1"/>
        <v>46047</v>
      </c>
      <c r="AH26" s="33">
        <f ca="1">IF(OR(AF26&gt;$AD$4,AF26&gt;$AD$3),NA(),SUMIFS(JanTable[Jumlah (Rp)],JanTable[Tipe],"Pengeluaran",JanTable[Tanggal],"&lt;="&amp;AG26))</f>
        <v>200000</v>
      </c>
      <c r="AI26" s="33">
        <f>IF(AF26&gt;$AD$4,NA(),Rekap!$B$19/$AD$4*AF26)</f>
        <v>191330.6451612903</v>
      </c>
      <c r="AJ26" s="33"/>
      <c r="AK26" s="33"/>
      <c r="AL26" s="33"/>
      <c r="AM26" s="33"/>
      <c r="AN26" s="33"/>
      <c r="AO26" s="33"/>
    </row>
    <row r="27" spans="1:41" ht="24.75" customHeight="1" x14ac:dyDescent="0.25">
      <c r="A27" s="5"/>
      <c r="B27" s="3"/>
      <c r="C27" s="3"/>
      <c r="D27" s="3"/>
      <c r="E27" s="6"/>
      <c r="F27" s="4"/>
      <c r="K27" s="54" t="s">
        <v>88</v>
      </c>
      <c r="L27" s="53"/>
      <c r="M27" s="37">
        <f>D3</f>
        <v>200000</v>
      </c>
      <c r="N27" s="33"/>
      <c r="O27" s="33"/>
      <c r="P27" s="33"/>
      <c r="Q27" s="33"/>
      <c r="R27" s="33"/>
      <c r="S27" s="33"/>
      <c r="T27" s="33"/>
      <c r="U27" s="33"/>
      <c r="V27" s="33"/>
      <c r="AD27" s="33"/>
      <c r="AE27" s="33"/>
      <c r="AF27" s="33">
        <v>26</v>
      </c>
      <c r="AG27" s="33">
        <f t="shared" si="1"/>
        <v>46048</v>
      </c>
      <c r="AH27" s="33">
        <f ca="1">IF(OR(AF27&gt;$AD$4,AF27&gt;$AD$3),NA(),SUMIFS(JanTable[Jumlah (Rp)],JanTable[Tipe],"Pengeluaran",JanTable[Tanggal],"&lt;="&amp;AG27))</f>
        <v>200000</v>
      </c>
      <c r="AI27" s="33">
        <f>IF(AF27&gt;$AD$4,NA(),Rekap!$B$19/$AD$4*AF27)</f>
        <v>198983.87096774194</v>
      </c>
      <c r="AJ27" s="33"/>
      <c r="AK27" s="33"/>
      <c r="AL27" s="33"/>
      <c r="AM27" s="33"/>
      <c r="AN27" s="33"/>
      <c r="AO27" s="33"/>
    </row>
    <row r="28" spans="1:41" ht="24.75" customHeight="1" x14ac:dyDescent="0.25">
      <c r="A28" s="5"/>
      <c r="B28" s="3"/>
      <c r="C28" s="3"/>
      <c r="D28" s="3"/>
      <c r="E28" s="6"/>
      <c r="F28" s="4"/>
      <c r="K28" s="54" t="s">
        <v>89</v>
      </c>
      <c r="L28" s="53"/>
      <c r="M28" s="37">
        <f ca="1">IFERROR(M27/M25,0)</f>
        <v>6451.6129032258068</v>
      </c>
      <c r="N28" s="33"/>
      <c r="O28" s="33"/>
      <c r="P28" s="33"/>
      <c r="Q28" s="33"/>
      <c r="R28" s="33"/>
      <c r="S28" s="33"/>
      <c r="T28" s="33"/>
      <c r="U28" s="33"/>
      <c r="V28" s="33"/>
      <c r="AD28" s="33"/>
      <c r="AE28" s="33"/>
      <c r="AF28" s="33">
        <v>27</v>
      </c>
      <c r="AG28" s="33">
        <f t="shared" si="1"/>
        <v>46049</v>
      </c>
      <c r="AH28" s="33">
        <f ca="1">IF(OR(AF28&gt;$AD$4,AF28&gt;$AD$3),NA(),SUMIFS(JanTable[Jumlah (Rp)],JanTable[Tipe],"Pengeluaran",JanTable[Tanggal],"&lt;="&amp;AG28))</f>
        <v>200000</v>
      </c>
      <c r="AI28" s="33">
        <f>IF(AF28&gt;$AD$4,NA(),Rekap!$B$19/$AD$4*AF28)</f>
        <v>206637.09677419355</v>
      </c>
      <c r="AJ28" s="33"/>
      <c r="AK28" s="33"/>
      <c r="AL28" s="33"/>
      <c r="AM28" s="33"/>
      <c r="AN28" s="33"/>
      <c r="AO28" s="33"/>
    </row>
    <row r="29" spans="1:41" ht="24.75" customHeight="1" x14ac:dyDescent="0.25">
      <c r="A29" s="5"/>
      <c r="B29" s="3"/>
      <c r="C29" s="3"/>
      <c r="D29" s="3"/>
      <c r="E29" s="6"/>
      <c r="F29" s="4"/>
      <c r="K29" s="52" t="s">
        <v>90</v>
      </c>
      <c r="L29" s="53"/>
      <c r="M29" s="42">
        <f ca="1">M28*M26</f>
        <v>200000</v>
      </c>
      <c r="N29" s="33"/>
      <c r="O29" s="33"/>
      <c r="P29" s="33"/>
      <c r="Q29" s="33"/>
      <c r="R29" s="33"/>
      <c r="S29" s="33"/>
      <c r="T29" s="33"/>
      <c r="U29" s="33"/>
      <c r="V29" s="33"/>
      <c r="AD29" s="33"/>
      <c r="AE29" s="33"/>
      <c r="AF29" s="33">
        <v>28</v>
      </c>
      <c r="AG29" s="33">
        <f t="shared" si="1"/>
        <v>46050</v>
      </c>
      <c r="AH29" s="33">
        <f ca="1">IF(OR(AF29&gt;$AD$4,AF29&gt;$AD$3),NA(),SUMIFS(JanTable[Jumlah (Rp)],JanTable[Tipe],"Pengeluaran",JanTable[Tanggal],"&lt;="&amp;AG29))</f>
        <v>200000</v>
      </c>
      <c r="AI29" s="33">
        <f>IF(AF29&gt;$AD$4,NA(),Rekap!$B$19/$AD$4*AF29)</f>
        <v>214290.32258064515</v>
      </c>
      <c r="AJ29" s="33"/>
      <c r="AK29" s="33"/>
      <c r="AL29" s="33"/>
      <c r="AM29" s="33"/>
      <c r="AN29" s="33"/>
      <c r="AO29" s="33"/>
    </row>
    <row r="30" spans="1:41" ht="24.75" customHeight="1" x14ac:dyDescent="0.25">
      <c r="A30" s="5"/>
      <c r="B30" s="3"/>
      <c r="C30" s="3"/>
      <c r="D30" s="3"/>
      <c r="E30" s="6"/>
      <c r="F30" s="4"/>
      <c r="K30" s="54" t="s">
        <v>91</v>
      </c>
      <c r="L30" s="53"/>
      <c r="M30" s="37">
        <f>Rekap!$B$19</f>
        <v>237250</v>
      </c>
      <c r="N30" s="33"/>
      <c r="O30" s="33"/>
      <c r="P30" s="33"/>
      <c r="Q30" s="33"/>
      <c r="R30" s="33"/>
      <c r="S30" s="33"/>
      <c r="T30" s="33"/>
      <c r="U30" s="33"/>
      <c r="V30" s="33"/>
      <c r="AD30" s="33"/>
      <c r="AE30" s="33"/>
      <c r="AF30" s="33">
        <v>29</v>
      </c>
      <c r="AG30" s="33">
        <f t="shared" si="1"/>
        <v>46051</v>
      </c>
      <c r="AH30" s="33">
        <f ca="1">IF(OR(AF30&gt;$AD$4,AF30&gt;$AD$3),NA(),SUMIFS(JanTable[Jumlah (Rp)],JanTable[Tipe],"Pengeluaran",JanTable[Tanggal],"&lt;="&amp;AG30))</f>
        <v>200000</v>
      </c>
      <c r="AI30" s="33">
        <f>IF(AF30&gt;$AD$4,NA(),Rekap!$B$19/$AD$4*AF30)</f>
        <v>221943.54838709676</v>
      </c>
      <c r="AJ30" s="33"/>
      <c r="AK30" s="33"/>
      <c r="AL30" s="33"/>
      <c r="AM30" s="33"/>
      <c r="AN30" s="33"/>
      <c r="AO30" s="33"/>
    </row>
    <row r="31" spans="1:41" ht="24.75" customHeight="1" x14ac:dyDescent="0.25">
      <c r="A31" s="5"/>
      <c r="B31" s="3"/>
      <c r="C31" s="3"/>
      <c r="D31" s="3"/>
      <c r="E31" s="6"/>
      <c r="F31" s="4"/>
      <c r="K31" s="54" t="s">
        <v>93</v>
      </c>
      <c r="L31" s="53"/>
      <c r="M31" s="37">
        <f>SUM(Master!$C$5:$C$81)</f>
        <v>30000000</v>
      </c>
      <c r="N31" s="33"/>
      <c r="O31" s="33"/>
      <c r="P31" s="33"/>
      <c r="Q31" s="33"/>
      <c r="R31" s="33"/>
      <c r="S31" s="33"/>
      <c r="T31" s="33"/>
      <c r="U31" s="33"/>
      <c r="V31" s="33"/>
      <c r="AD31" s="33"/>
      <c r="AE31" s="33"/>
      <c r="AF31" s="33">
        <v>30</v>
      </c>
      <c r="AG31" s="33">
        <f t="shared" si="1"/>
        <v>46052</v>
      </c>
      <c r="AH31" s="33">
        <f ca="1">IF(OR(AF31&gt;$AD$4,AF31&gt;$AD$3),NA(),SUMIFS(JanTable[Jumlah (Rp)],JanTable[Tipe],"Pengeluaran",JanTable[Tanggal],"&lt;="&amp;AG31))</f>
        <v>200000</v>
      </c>
      <c r="AI31" s="33">
        <f>IF(AF31&gt;$AD$4,NA(),Rekap!$B$19/$AD$4*AF31)</f>
        <v>229596.77419354839</v>
      </c>
      <c r="AJ31" s="33"/>
      <c r="AK31" s="33"/>
      <c r="AL31" s="33"/>
      <c r="AM31" s="33"/>
      <c r="AN31" s="33"/>
      <c r="AO31" s="33"/>
    </row>
    <row r="32" spans="1:41" ht="24.75" customHeight="1" x14ac:dyDescent="0.25">
      <c r="A32" s="5"/>
      <c r="B32" s="3"/>
      <c r="C32" s="3"/>
      <c r="D32" s="3"/>
      <c r="E32" s="6"/>
      <c r="F32" s="4"/>
      <c r="K32" s="52" t="s">
        <v>58</v>
      </c>
      <c r="L32" s="53"/>
      <c r="M32" s="40" t="str">
        <f ca="1">IF(M25=0,"belum mulai",IF(M29&gt;M30,"di atas kebiasaan","di bawah kebiasaan"))</f>
        <v>di bawah kebiasaan</v>
      </c>
      <c r="N32" s="33"/>
      <c r="O32" s="33"/>
      <c r="P32" s="33"/>
      <c r="Q32" s="33"/>
      <c r="R32" s="33"/>
      <c r="S32" s="33"/>
      <c r="T32" s="33"/>
      <c r="U32" s="33"/>
      <c r="V32" s="33"/>
      <c r="AD32" s="33"/>
      <c r="AE32" s="33"/>
      <c r="AF32" s="33">
        <v>31</v>
      </c>
      <c r="AG32" s="33">
        <f t="shared" si="1"/>
        <v>46053</v>
      </c>
      <c r="AH32" s="33">
        <f ca="1">IF(OR(AF32&gt;$AD$4,AF32&gt;$AD$3),NA(),SUMIFS(JanTable[Jumlah (Rp)],JanTable[Tipe],"Pengeluaran",JanTable[Tanggal],"&lt;="&amp;AG32))</f>
        <v>200000</v>
      </c>
      <c r="AI32" s="33">
        <f>IF(AF32&gt;$AD$4,NA(),Rekap!$B$19/$AD$4*AF32)</f>
        <v>237250</v>
      </c>
      <c r="AJ32" s="33"/>
      <c r="AK32" s="33"/>
      <c r="AL32" s="33"/>
      <c r="AM32" s="33"/>
      <c r="AN32" s="33"/>
      <c r="AO32" s="33"/>
    </row>
    <row r="33" spans="1:41" ht="24.75" customHeight="1" x14ac:dyDescent="0.25">
      <c r="A33" s="5"/>
      <c r="B33" s="3"/>
      <c r="C33" s="3"/>
      <c r="D33" s="3"/>
      <c r="E33" s="6"/>
      <c r="F33" s="4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</row>
    <row r="34" spans="1:41" ht="24.75" customHeight="1" x14ac:dyDescent="0.25">
      <c r="A34" s="5"/>
      <c r="B34" s="3"/>
      <c r="C34" s="3"/>
      <c r="D34" s="3"/>
      <c r="E34" s="6"/>
      <c r="F34" s="4"/>
      <c r="K34" s="32" t="s">
        <v>94</v>
      </c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</row>
    <row r="35" spans="1:41" ht="24.75" customHeight="1" x14ac:dyDescent="0.25">
      <c r="A35" s="5"/>
      <c r="B35" s="3"/>
      <c r="C35" s="3"/>
      <c r="D35" s="3"/>
      <c r="E35" s="6"/>
      <c r="F35" s="4"/>
      <c r="K35" s="34" t="s">
        <v>43</v>
      </c>
      <c r="L35" s="34" t="s">
        <v>37</v>
      </c>
      <c r="M35" s="34" t="s">
        <v>44</v>
      </c>
      <c r="N35" s="33"/>
      <c r="O35" s="33"/>
      <c r="P35" s="33"/>
      <c r="Q35" s="33"/>
      <c r="R35" s="33"/>
      <c r="S35" s="33"/>
      <c r="T35" s="33"/>
      <c r="U35" s="33"/>
      <c r="V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</row>
    <row r="36" spans="1:41" ht="24.75" customHeight="1" x14ac:dyDescent="0.25">
      <c r="A36" s="5"/>
      <c r="B36" s="3"/>
      <c r="C36" s="3"/>
      <c r="D36" s="3"/>
      <c r="E36" s="6"/>
      <c r="F36" s="4"/>
      <c r="K36" s="35" t="str">
        <f>Master!$G$5</f>
        <v>Tunai Uji</v>
      </c>
      <c r="L36" s="37">
        <f>SUMIFS(JanTable[Jumlah (Rp)],JanTable[Tipe],"Pengeluaran",JanTable[Pembayaran],K36)</f>
        <v>125000</v>
      </c>
      <c r="M36" s="48">
        <f t="shared" ref="M36:M44" si="2">IFERROR(L36/$D$3,0)</f>
        <v>0.625</v>
      </c>
      <c r="N36" s="33"/>
      <c r="O36" s="33"/>
      <c r="P36" s="33"/>
      <c r="Q36" s="33"/>
      <c r="R36" s="33"/>
      <c r="S36" s="33"/>
      <c r="T36" s="33"/>
      <c r="U36" s="33"/>
      <c r="V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</row>
    <row r="37" spans="1:41" ht="24.75" customHeight="1" x14ac:dyDescent="0.25">
      <c r="A37" s="5"/>
      <c r="B37" s="3"/>
      <c r="C37" s="3"/>
      <c r="D37" s="3"/>
      <c r="E37" s="6"/>
      <c r="F37" s="4"/>
      <c r="K37" s="35" t="str">
        <f>Master!$G$6</f>
        <v>Bank Uji</v>
      </c>
      <c r="L37" s="37">
        <f>SUMIFS(JanTable[Jumlah (Rp)],JanTable[Tipe],"Pengeluaran",JanTable[Pembayaran],K37)</f>
        <v>0</v>
      </c>
      <c r="M37" s="48">
        <f t="shared" si="2"/>
        <v>0</v>
      </c>
      <c r="N37" s="33"/>
      <c r="O37" s="33"/>
      <c r="P37" s="33"/>
      <c r="Q37" s="33"/>
      <c r="R37" s="33"/>
      <c r="S37" s="33"/>
      <c r="T37" s="33"/>
      <c r="U37" s="33"/>
      <c r="V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</row>
    <row r="38" spans="1:41" ht="24.75" customHeight="1" x14ac:dyDescent="0.25">
      <c r="A38" s="5"/>
      <c r="B38" s="3"/>
      <c r="C38" s="3"/>
      <c r="D38" s="3"/>
      <c r="E38" s="6"/>
      <c r="F38" s="4"/>
      <c r="K38" s="35" t="str">
        <f>Master!$G$7</f>
        <v>Dompet Uji</v>
      </c>
      <c r="L38" s="37">
        <f>SUMIFS(JanTable[Jumlah (Rp)],JanTable[Tipe],"Pengeluaran",JanTable[Pembayaran],K38)</f>
        <v>75000</v>
      </c>
      <c r="M38" s="48">
        <f t="shared" si="2"/>
        <v>0.375</v>
      </c>
      <c r="N38" s="33"/>
      <c r="O38" s="33"/>
      <c r="P38" s="33"/>
      <c r="Q38" s="33"/>
      <c r="R38" s="33"/>
      <c r="S38" s="33"/>
      <c r="T38" s="33"/>
      <c r="U38" s="33"/>
      <c r="V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</row>
    <row r="39" spans="1:41" ht="24.75" customHeight="1" x14ac:dyDescent="0.25">
      <c r="A39" s="5"/>
      <c r="B39" s="3"/>
      <c r="C39" s="3"/>
      <c r="D39" s="3"/>
      <c r="E39" s="6"/>
      <c r="F39" s="4"/>
      <c r="K39" s="35" t="str">
        <f>Master!$G$8</f>
        <v>Kartu Uji</v>
      </c>
      <c r="L39" s="37">
        <f>SUMIFS(JanTable[Jumlah (Rp)],JanTable[Tipe],"Pengeluaran",JanTable[Pembayaran],K39)</f>
        <v>0</v>
      </c>
      <c r="M39" s="48">
        <f t="shared" si="2"/>
        <v>0</v>
      </c>
      <c r="N39" s="33"/>
      <c r="O39" s="33"/>
      <c r="P39" s="33"/>
      <c r="Q39" s="33"/>
      <c r="R39" s="33"/>
      <c r="S39" s="33"/>
      <c r="T39" s="33"/>
      <c r="U39" s="33"/>
      <c r="V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</row>
    <row r="40" spans="1:41" ht="24.75" customHeight="1" x14ac:dyDescent="0.25">
      <c r="A40" s="5"/>
      <c r="B40" s="3"/>
      <c r="C40" s="3"/>
      <c r="D40" s="3"/>
      <c r="E40" s="6"/>
      <c r="F40" s="4"/>
      <c r="K40" s="35" t="str">
        <f>Master!$G$9</f>
        <v>Transfer Uji</v>
      </c>
      <c r="L40" s="37">
        <f>SUMIFS(JanTable[Jumlah (Rp)],JanTable[Tipe],"Pengeluaran",JanTable[Pembayaran],K40)</f>
        <v>0</v>
      </c>
      <c r="M40" s="48">
        <f t="shared" si="2"/>
        <v>0</v>
      </c>
      <c r="N40" s="33"/>
      <c r="O40" s="33"/>
      <c r="P40" s="33"/>
      <c r="Q40" s="33"/>
      <c r="R40" s="33"/>
      <c r="S40" s="33"/>
      <c r="T40" s="33"/>
      <c r="U40" s="33"/>
      <c r="V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</row>
    <row r="41" spans="1:41" ht="24.75" customHeight="1" x14ac:dyDescent="0.25">
      <c r="A41" s="5"/>
      <c r="B41" s="3"/>
      <c r="C41" s="3"/>
      <c r="D41" s="3"/>
      <c r="E41" s="6"/>
      <c r="F41" s="4"/>
      <c r="K41" s="35" t="str">
        <f>Master!$G$10</f>
        <v>Voucher Uji</v>
      </c>
      <c r="L41" s="37">
        <f>SUMIFS(JanTable[Jumlah (Rp)],JanTable[Tipe],"Pengeluaran",JanTable[Pembayaran],K41)</f>
        <v>0</v>
      </c>
      <c r="M41" s="48">
        <f t="shared" si="2"/>
        <v>0</v>
      </c>
      <c r="N41" s="33"/>
      <c r="O41" s="33"/>
      <c r="P41" s="33"/>
      <c r="Q41" s="33"/>
      <c r="R41" s="33"/>
      <c r="S41" s="33"/>
      <c r="T41" s="33"/>
      <c r="U41" s="33"/>
      <c r="V41" s="33"/>
    </row>
    <row r="42" spans="1:41" ht="24.75" customHeight="1" x14ac:dyDescent="0.25">
      <c r="A42" s="5"/>
      <c r="B42" s="3"/>
      <c r="C42" s="3"/>
      <c r="D42" s="3"/>
      <c r="E42" s="6"/>
      <c r="F42" s="4"/>
      <c r="K42" s="35" t="str">
        <f>Master!$G$11</f>
        <v>Cicilan Uji</v>
      </c>
      <c r="L42" s="37">
        <f>SUMIFS(JanTable[Jumlah (Rp)],JanTable[Tipe],"Pengeluaran",JanTable[Pembayaran],K42)</f>
        <v>0</v>
      </c>
      <c r="M42" s="48">
        <f t="shared" si="2"/>
        <v>0</v>
      </c>
      <c r="N42" s="33"/>
      <c r="O42" s="33"/>
      <c r="P42" s="33"/>
      <c r="Q42" s="33"/>
      <c r="R42" s="33"/>
      <c r="S42" s="33"/>
      <c r="T42" s="33"/>
      <c r="U42" s="33"/>
      <c r="V42" s="33"/>
    </row>
    <row r="43" spans="1:41" ht="24.75" customHeight="1" x14ac:dyDescent="0.25">
      <c r="A43" s="5"/>
      <c r="B43" s="3"/>
      <c r="C43" s="3"/>
      <c r="D43" s="3"/>
      <c r="E43" s="6"/>
      <c r="F43" s="4"/>
      <c r="K43" s="35" t="str">
        <f>Master!$G$12</f>
        <v>Lainnya Uji</v>
      </c>
      <c r="L43" s="37">
        <f>SUMIFS(JanTable[Jumlah (Rp)],JanTable[Tipe],"Pengeluaran",JanTable[Pembayaran],K43)</f>
        <v>0</v>
      </c>
      <c r="M43" s="48">
        <f t="shared" si="2"/>
        <v>0</v>
      </c>
      <c r="N43" s="33"/>
      <c r="O43" s="33"/>
      <c r="P43" s="33"/>
      <c r="Q43" s="33"/>
      <c r="R43" s="33"/>
      <c r="S43" s="33"/>
      <c r="T43" s="33"/>
      <c r="U43" s="33"/>
      <c r="V43" s="33"/>
    </row>
    <row r="44" spans="1:41" ht="24.75" customHeight="1" x14ac:dyDescent="0.25">
      <c r="A44" s="5"/>
      <c r="B44" s="3"/>
      <c r="C44" s="3"/>
      <c r="D44" s="3"/>
      <c r="E44" s="6"/>
      <c r="F44" s="4"/>
      <c r="K44" s="40" t="s">
        <v>21</v>
      </c>
      <c r="L44" s="42">
        <f>SUM(L36:L43)</f>
        <v>200000</v>
      </c>
      <c r="M44" s="44">
        <f t="shared" si="2"/>
        <v>1</v>
      </c>
      <c r="N44" s="33"/>
      <c r="O44" s="33"/>
      <c r="P44" s="33"/>
      <c r="Q44" s="33"/>
      <c r="R44" s="33"/>
      <c r="S44" s="33"/>
      <c r="T44" s="33"/>
      <c r="U44" s="33"/>
      <c r="V44" s="33"/>
    </row>
    <row r="45" spans="1:41" ht="24.75" customHeight="1" x14ac:dyDescent="0.25">
      <c r="A45" s="5"/>
      <c r="B45" s="3"/>
      <c r="C45" s="3"/>
      <c r="D45" s="3"/>
      <c r="E45" s="6"/>
      <c r="F45" s="4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</row>
    <row r="46" spans="1:41" ht="24.75" customHeight="1" x14ac:dyDescent="0.25">
      <c r="A46" s="5"/>
      <c r="B46" s="3"/>
      <c r="C46" s="3"/>
      <c r="D46" s="3"/>
      <c r="E46" s="6"/>
      <c r="F46" s="4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</row>
    <row r="47" spans="1:41" ht="24.75" customHeight="1" x14ac:dyDescent="0.25">
      <c r="A47" s="5"/>
      <c r="B47" s="3"/>
      <c r="C47" s="3"/>
      <c r="D47" s="3"/>
      <c r="E47" s="6"/>
      <c r="F47" s="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</row>
    <row r="48" spans="1:41" ht="24.75" customHeight="1" x14ac:dyDescent="0.25">
      <c r="A48" s="5"/>
      <c r="B48" s="3"/>
      <c r="C48" s="3"/>
      <c r="D48" s="3"/>
      <c r="E48" s="6"/>
      <c r="F48" s="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</row>
    <row r="49" spans="1:22" ht="24.75" customHeight="1" x14ac:dyDescent="0.25">
      <c r="A49" s="5"/>
      <c r="B49" s="3"/>
      <c r="C49" s="3"/>
      <c r="D49" s="3"/>
      <c r="E49" s="6"/>
      <c r="F49" s="4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ht="24.75" customHeight="1" x14ac:dyDescent="0.25">
      <c r="A50" s="5"/>
      <c r="B50" s="3"/>
      <c r="C50" s="3"/>
      <c r="D50" s="3"/>
      <c r="E50" s="6"/>
      <c r="F50" s="4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</row>
    <row r="51" spans="1:22" ht="24.75" customHeight="1" x14ac:dyDescent="0.25">
      <c r="A51" s="5"/>
      <c r="B51" s="3"/>
      <c r="C51" s="3"/>
      <c r="D51" s="3"/>
      <c r="E51" s="6"/>
      <c r="F51" s="4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</row>
    <row r="52" spans="1:22" ht="24.75" customHeight="1" x14ac:dyDescent="0.25">
      <c r="A52" s="5"/>
      <c r="B52" s="3"/>
      <c r="C52" s="3"/>
      <c r="D52" s="3"/>
      <c r="E52" s="6"/>
      <c r="F52" s="4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</row>
    <row r="53" spans="1:22" ht="24.75" customHeight="1" x14ac:dyDescent="0.25">
      <c r="A53" s="5"/>
      <c r="B53" s="3"/>
      <c r="C53" s="3"/>
      <c r="D53" s="3"/>
      <c r="E53" s="6"/>
      <c r="F53" s="4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</row>
    <row r="54" spans="1:22" ht="24.75" customHeight="1" x14ac:dyDescent="0.25">
      <c r="A54" s="5"/>
      <c r="B54" s="3"/>
      <c r="C54" s="3"/>
      <c r="D54" s="3"/>
      <c r="E54" s="6"/>
      <c r="F54" s="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</row>
    <row r="55" spans="1:22" ht="24.75" customHeight="1" x14ac:dyDescent="0.25">
      <c r="A55" s="5"/>
      <c r="B55" s="3"/>
      <c r="C55" s="3"/>
      <c r="D55" s="3"/>
      <c r="E55" s="6"/>
      <c r="F55" s="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</row>
    <row r="56" spans="1:22" ht="24.75" customHeight="1" x14ac:dyDescent="0.25">
      <c r="A56" s="5"/>
      <c r="B56" s="3"/>
      <c r="C56" s="3"/>
      <c r="D56" s="3"/>
      <c r="E56" s="6"/>
      <c r="F56" s="4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</row>
    <row r="57" spans="1:22" ht="24.75" customHeight="1" x14ac:dyDescent="0.25">
      <c r="A57" s="5"/>
      <c r="B57" s="3"/>
      <c r="C57" s="3"/>
      <c r="D57" s="3"/>
      <c r="E57" s="6"/>
      <c r="F57" s="4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</row>
    <row r="58" spans="1:22" ht="24.75" customHeight="1" x14ac:dyDescent="0.25">
      <c r="A58" s="5"/>
      <c r="B58" s="3"/>
      <c r="C58" s="3"/>
      <c r="D58" s="3"/>
      <c r="E58" s="6"/>
      <c r="F58" s="4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</row>
    <row r="59" spans="1:22" ht="24.75" customHeight="1" x14ac:dyDescent="0.25">
      <c r="A59" s="5"/>
      <c r="B59" s="3"/>
      <c r="C59" s="3"/>
      <c r="D59" s="3"/>
      <c r="E59" s="6"/>
      <c r="F59" s="4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</row>
    <row r="60" spans="1:22" ht="24.75" customHeight="1" x14ac:dyDescent="0.25">
      <c r="A60" s="5"/>
      <c r="B60" s="3"/>
      <c r="C60" s="3"/>
      <c r="D60" s="3"/>
      <c r="E60" s="6"/>
      <c r="F60" s="4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</row>
    <row r="61" spans="1:22" ht="24.75" customHeight="1" x14ac:dyDescent="0.25">
      <c r="A61" s="5"/>
      <c r="B61" s="3"/>
      <c r="C61" s="3"/>
      <c r="D61" s="3"/>
      <c r="E61" s="6"/>
      <c r="F61" s="4"/>
    </row>
    <row r="62" spans="1:22" ht="24.75" customHeight="1" x14ac:dyDescent="0.25">
      <c r="A62" s="5"/>
      <c r="B62" s="3"/>
      <c r="C62" s="3"/>
      <c r="D62" s="3"/>
      <c r="E62" s="6"/>
      <c r="F62" s="4"/>
    </row>
    <row r="63" spans="1:22" ht="24.75" customHeight="1" x14ac:dyDescent="0.25">
      <c r="A63" s="5"/>
      <c r="B63" s="3"/>
      <c r="C63" s="3"/>
      <c r="D63" s="3"/>
      <c r="E63" s="6"/>
      <c r="F63" s="4"/>
    </row>
    <row r="64" spans="1:22" ht="24.75" customHeight="1" x14ac:dyDescent="0.25">
      <c r="A64" s="5"/>
      <c r="B64" s="3"/>
      <c r="C64" s="3"/>
      <c r="D64" s="3"/>
      <c r="E64" s="6"/>
      <c r="F64" s="4"/>
    </row>
    <row r="65" spans="1:6" ht="24.75" customHeight="1" x14ac:dyDescent="0.25">
      <c r="A65" s="5"/>
      <c r="B65" s="3"/>
      <c r="C65" s="3"/>
      <c r="D65" s="3"/>
      <c r="E65" s="6"/>
      <c r="F65" s="4"/>
    </row>
    <row r="66" spans="1:6" ht="24.75" customHeight="1" x14ac:dyDescent="0.25">
      <c r="A66" s="5"/>
      <c r="B66" s="3"/>
      <c r="C66" s="3"/>
      <c r="D66" s="3"/>
      <c r="E66" s="6"/>
      <c r="F66" s="4"/>
    </row>
    <row r="67" spans="1:6" ht="24.75" customHeight="1" x14ac:dyDescent="0.25">
      <c r="A67" s="5"/>
      <c r="B67" s="3"/>
      <c r="C67" s="3"/>
      <c r="D67" s="3"/>
      <c r="E67" s="6"/>
      <c r="F67" s="4"/>
    </row>
    <row r="68" spans="1:6" ht="24.75" customHeight="1" x14ac:dyDescent="0.25">
      <c r="A68" s="5"/>
      <c r="B68" s="3"/>
      <c r="C68" s="3"/>
      <c r="D68" s="3"/>
      <c r="E68" s="6"/>
      <c r="F68" s="4"/>
    </row>
    <row r="69" spans="1:6" ht="24.75" customHeight="1" x14ac:dyDescent="0.25">
      <c r="A69" s="5"/>
      <c r="B69" s="3"/>
      <c r="C69" s="3"/>
      <c r="D69" s="3"/>
      <c r="E69" s="6"/>
      <c r="F69" s="4"/>
    </row>
    <row r="70" spans="1:6" ht="24.75" customHeight="1" x14ac:dyDescent="0.25">
      <c r="A70" s="5"/>
      <c r="B70" s="3"/>
      <c r="C70" s="3"/>
      <c r="D70" s="3"/>
      <c r="E70" s="6"/>
      <c r="F70" s="4"/>
    </row>
    <row r="71" spans="1:6" ht="24.75" customHeight="1" x14ac:dyDescent="0.25">
      <c r="A71" s="5"/>
      <c r="B71" s="3"/>
      <c r="C71" s="3"/>
      <c r="D71" s="3"/>
      <c r="E71" s="6"/>
      <c r="F71" s="4"/>
    </row>
    <row r="72" spans="1:6" ht="24.75" customHeight="1" x14ac:dyDescent="0.25">
      <c r="A72" s="5"/>
      <c r="B72" s="3"/>
      <c r="C72" s="3"/>
      <c r="D72" s="3"/>
      <c r="E72" s="6"/>
      <c r="F72" s="4"/>
    </row>
    <row r="73" spans="1:6" ht="24.75" customHeight="1" x14ac:dyDescent="0.25">
      <c r="A73" s="5"/>
      <c r="B73" s="3"/>
      <c r="C73" s="3"/>
      <c r="D73" s="3"/>
      <c r="E73" s="6"/>
      <c r="F73" s="4"/>
    </row>
    <row r="74" spans="1:6" ht="24.75" customHeight="1" x14ac:dyDescent="0.25">
      <c r="A74" s="5"/>
      <c r="B74" s="3"/>
      <c r="C74" s="3"/>
      <c r="D74" s="3"/>
      <c r="E74" s="6"/>
      <c r="F74" s="4"/>
    </row>
    <row r="75" spans="1:6" ht="24.75" customHeight="1" x14ac:dyDescent="0.25">
      <c r="A75" s="5"/>
      <c r="B75" s="3"/>
      <c r="C75" s="3"/>
      <c r="D75" s="3"/>
      <c r="E75" s="6"/>
      <c r="F75" s="4"/>
    </row>
    <row r="76" spans="1:6" ht="24.75" customHeight="1" x14ac:dyDescent="0.25">
      <c r="A76" s="5"/>
      <c r="B76" s="3"/>
      <c r="C76" s="3"/>
      <c r="D76" s="3"/>
      <c r="E76" s="6"/>
      <c r="F76" s="4"/>
    </row>
    <row r="77" spans="1:6" ht="24.75" customHeight="1" x14ac:dyDescent="0.25">
      <c r="A77" s="5"/>
      <c r="B77" s="3"/>
      <c r="C77" s="3"/>
      <c r="D77" s="3"/>
      <c r="E77" s="6"/>
      <c r="F77" s="4"/>
    </row>
    <row r="78" spans="1:6" ht="24.75" customHeight="1" x14ac:dyDescent="0.25">
      <c r="A78" s="5"/>
      <c r="B78" s="3"/>
      <c r="C78" s="3"/>
      <c r="D78" s="3"/>
      <c r="E78" s="6"/>
      <c r="F78" s="4"/>
    </row>
    <row r="79" spans="1:6" ht="24.75" customHeight="1" x14ac:dyDescent="0.25">
      <c r="A79" s="5"/>
      <c r="B79" s="3"/>
      <c r="C79" s="3"/>
      <c r="D79" s="3"/>
      <c r="E79" s="6"/>
      <c r="F79" s="4"/>
    </row>
  </sheetData>
  <mergeCells count="21">
    <mergeCell ref="K16:L16"/>
    <mergeCell ref="K30:L30"/>
    <mergeCell ref="K18:L18"/>
    <mergeCell ref="K25:L25"/>
    <mergeCell ref="K24:L24"/>
    <mergeCell ref="K32:L32"/>
    <mergeCell ref="K31:L31"/>
    <mergeCell ref="K27:L27"/>
    <mergeCell ref="R8:T8"/>
    <mergeCell ref="H13:I13"/>
    <mergeCell ref="K14:L14"/>
    <mergeCell ref="K17:L17"/>
    <mergeCell ref="K10:L10"/>
    <mergeCell ref="K28:L28"/>
    <mergeCell ref="K19:L19"/>
    <mergeCell ref="K15:L15"/>
    <mergeCell ref="K9:L9"/>
    <mergeCell ref="K26:L26"/>
    <mergeCell ref="K29:L29"/>
    <mergeCell ref="K11:L11"/>
    <mergeCell ref="K20:L20"/>
  </mergeCells>
  <conditionalFormatting sqref="M19">
    <cfRule type="cellIs" dxfId="184" priority="3" operator="lessThan">
      <formula>0</formula>
    </cfRule>
    <cfRule type="cellIs" dxfId="183" priority="4" operator="greaterThanOrEqual">
      <formula>0</formula>
    </cfRule>
  </conditionalFormatting>
  <conditionalFormatting sqref="M32">
    <cfRule type="cellIs" dxfId="182" priority="7" operator="equal">
      <formula>"di atas kebiasaan"</formula>
    </cfRule>
    <cfRule type="cellIs" dxfId="181" priority="7" operator="equal">
      <formula>"di bawah kebiasaan"</formula>
    </cfRule>
  </conditionalFormatting>
  <conditionalFormatting sqref="B6:B505">
    <cfRule type="expression" dxfId="180" priority="8" stopIfTrue="1">
      <formula>TRIM($B6)="Pengeluaran"</formula>
    </cfRule>
    <cfRule type="expression" dxfId="179" priority="9" stopIfTrue="1">
      <formula>TRIM($B6)="Pemasukan"</formula>
    </cfRule>
  </conditionalFormatting>
  <dataValidations count="3">
    <dataValidation type="list" errorStyle="warning" allowBlank="1" errorTitle="Di luar daftar" error="Nilai ini tidak ada di sheet Master. Tetap pakai?" sqref="B6:B505" xr:uid="{00000000-0002-0000-0100-000000000000}">
      <formula1>ListTipe</formula1>
    </dataValidation>
    <dataValidation type="list" errorStyle="warning" allowBlank="1" errorTitle="Di luar daftar" error="Nilai ini tidak ada di sheet Master. Tetap pakai?" sqref="C6:C505" xr:uid="{00000000-0002-0000-0100-000001000000}">
      <formula1>ListPembayaran</formula1>
    </dataValidation>
    <dataValidation type="list" errorStyle="warning" allowBlank="1" errorTitle="Di luar daftar" error="Nilai ini tidak ada di sheet Master. Tetap pakai?" sqref="D6:D505" xr:uid="{00000000-0002-0000-0100-000002000000}">
      <formula1>ListKategori</formula1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TambahBarisBaru_ActiveSheet">
                <anchor moveWithCells="1" sizeWithCells="1">
                  <from>
                    <xdr:col>4</xdr:col>
                    <xdr:colOff>1457325</xdr:colOff>
                    <xdr:row>1</xdr:row>
                    <xdr:rowOff>285750</xdr:rowOff>
                  </from>
                  <to>
                    <xdr:col>5</xdr:col>
                    <xdr:colOff>3038475</xdr:colOff>
                    <xdr:row>3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:AO105"/>
  <sheetViews>
    <sheetView workbookViewId="0"/>
  </sheetViews>
  <sheetFormatPr defaultRowHeight="24.75" customHeight="1" x14ac:dyDescent="0.25"/>
  <cols>
    <col min="1" max="1" width="15" customWidth="1"/>
    <col min="2" max="2" width="14" customWidth="1"/>
    <col min="3" max="3" width="20.85546875" customWidth="1"/>
    <col min="4" max="5" width="22.140625" customWidth="1"/>
    <col min="6" max="6" width="46" customWidth="1"/>
    <col min="7" max="7" width="2" customWidth="1"/>
    <col min="8" max="8" width="16.7109375" customWidth="1"/>
    <col min="9" max="9" width="16.42578125" customWidth="1"/>
    <col min="11" max="11" width="26" customWidth="1"/>
    <col min="12" max="12" width="9" customWidth="1"/>
    <col min="13" max="15" width="16" customWidth="1"/>
    <col min="16" max="16" width="19" customWidth="1"/>
    <col min="17" max="17" width="2" customWidth="1"/>
    <col min="18" max="18" width="22" customWidth="1"/>
    <col min="19" max="21" width="15" customWidth="1"/>
    <col min="22" max="22" width="34" customWidth="1"/>
    <col min="30" max="41" width="13" hidden="1" customWidth="1"/>
  </cols>
  <sheetData>
    <row r="1" spans="1:41" ht="24.75" customHeight="1" x14ac:dyDescent="0.25">
      <c r="A1" s="15" t="s">
        <v>45</v>
      </c>
      <c r="B1" s="16">
        <v>2500000</v>
      </c>
      <c r="C1" s="17" t="s">
        <v>46</v>
      </c>
      <c r="D1" s="16">
        <v>2000000</v>
      </c>
      <c r="K1" s="32" t="s">
        <v>47</v>
      </c>
      <c r="L1" s="33"/>
      <c r="M1" s="33"/>
      <c r="N1" s="33"/>
      <c r="O1" s="33"/>
      <c r="P1" s="33"/>
      <c r="Q1" s="33"/>
      <c r="R1" s="32" t="s">
        <v>48</v>
      </c>
      <c r="S1" s="33"/>
      <c r="T1" s="33"/>
      <c r="U1" s="33"/>
      <c r="V1" s="33"/>
      <c r="AD1" s="33">
        <f>DATE(2026,2,1)</f>
        <v>46054</v>
      </c>
      <c r="AE1" s="33"/>
      <c r="AF1" s="33" t="s">
        <v>49</v>
      </c>
      <c r="AG1" s="33"/>
      <c r="AH1" s="33" t="s">
        <v>50</v>
      </c>
      <c r="AI1" s="33" t="s">
        <v>51</v>
      </c>
      <c r="AJ1" s="33" t="str">
        <f>Master!$A$5</f>
        <v>Kategori Uji 01</v>
      </c>
      <c r="AK1" s="33">
        <f>SUMIFS(FebTable[Jumlah (Rp)],FebTable[Tipe],"Pengeluaran",FebTable[Kategori],AJ1)</f>
        <v>0</v>
      </c>
      <c r="AL1" s="33">
        <f>SUMIFS(JanTable[Jumlah (Rp)],JanTable[Tipe],"Pengeluaran",JanTable[Kategori],AJ1)</f>
        <v>125000</v>
      </c>
      <c r="AM1" s="33">
        <f t="shared" ref="AM1:AM23" si="0">AK1+ROW()/1000000</f>
        <v>9.9999999999999995E-7</v>
      </c>
      <c r="AN1" s="33">
        <f>MAX($AM$1:$AM$23)</f>
        <v>250000.00000299999</v>
      </c>
      <c r="AO1" s="33">
        <f>IFERROR(MATCH(AN1,$AM$1:$AM$23,0),0)</f>
        <v>3</v>
      </c>
    </row>
    <row r="2" spans="1:41" ht="24.75" customHeight="1" x14ac:dyDescent="0.25">
      <c r="A2" s="15" t="s">
        <v>5</v>
      </c>
      <c r="B2" s="7">
        <f>IF(B1=0,"",B1-D4)</f>
        <v>-250000</v>
      </c>
      <c r="C2" s="17" t="s">
        <v>52</v>
      </c>
      <c r="D2" s="2">
        <f>SUMIFS(FebTable[Jumlah (Rp)],FebTable[Tipe],"Pemasukan")</f>
        <v>1000000</v>
      </c>
      <c r="E2" s="8">
        <f>IFERROR(D2/(D2+D3),0)</f>
        <v>0.8</v>
      </c>
      <c r="K2" s="34" t="s">
        <v>53</v>
      </c>
      <c r="L2" s="34" t="s">
        <v>54</v>
      </c>
      <c r="M2" s="34" t="s">
        <v>55</v>
      </c>
      <c r="N2" s="34" t="s">
        <v>56</v>
      </c>
      <c r="O2" s="34" t="s">
        <v>57</v>
      </c>
      <c r="P2" s="34" t="s">
        <v>58</v>
      </c>
      <c r="Q2" s="33"/>
      <c r="R2" s="34" t="s">
        <v>59</v>
      </c>
      <c r="S2" s="34" t="s">
        <v>49</v>
      </c>
      <c r="T2" s="34" t="s">
        <v>25</v>
      </c>
      <c r="U2" s="34" t="s">
        <v>60</v>
      </c>
      <c r="V2" s="34" t="s">
        <v>61</v>
      </c>
      <c r="AD2" s="33">
        <f>EOMONTH(AD1,0)</f>
        <v>46081</v>
      </c>
      <c r="AE2" s="33"/>
      <c r="AF2" s="33">
        <v>1</v>
      </c>
      <c r="AG2" s="33">
        <f t="shared" ref="AG2:AG32" si="1">DATE(2026,2,AF2)</f>
        <v>46054</v>
      </c>
      <c r="AH2" s="33">
        <f ca="1">IF(OR(AF2&gt;$AD$4,AF2&gt;$AD$3),NA(),SUMIFS(FebTable[Jumlah (Rp)],FebTable[Tipe],"Pengeluaran",FebTable[Tanggal],"&lt;="&amp;AG2))</f>
        <v>0</v>
      </c>
      <c r="AI2" s="33">
        <f>IF(AF2&gt;$AD$4,NA(),Rekap!$B$19/$AD$4*AF2)</f>
        <v>8473.2142857142862</v>
      </c>
      <c r="AJ2" s="33" t="str">
        <f>Master!$A$6</f>
        <v>Kategori Uji 02</v>
      </c>
      <c r="AK2" s="33">
        <f>SUMIFS(FebTable[Jumlah (Rp)],FebTable[Tipe],"Pengeluaran",FebTable[Kategori],AJ2)</f>
        <v>0</v>
      </c>
      <c r="AL2" s="33">
        <f>SUMIFS(JanTable[Jumlah (Rp)],JanTable[Tipe],"Pengeluaran",JanTable[Kategori],AJ2)</f>
        <v>75000</v>
      </c>
      <c r="AM2" s="33">
        <f t="shared" si="0"/>
        <v>1.9999999999999999E-6</v>
      </c>
      <c r="AN2" s="33">
        <f>SUMPRODUCT(MAX(($AM$1:$AM$23&lt;AN1)*$AM$1:$AM$23))</f>
        <v>2.3E-5</v>
      </c>
      <c r="AO2" s="33">
        <f>IFERROR(MATCH(AN2,$AM$1:$AM$23,0),0)</f>
        <v>23</v>
      </c>
    </row>
    <row r="3" spans="1:41" ht="24.75" customHeight="1" x14ac:dyDescent="0.25">
      <c r="A3" s="15" t="s">
        <v>6</v>
      </c>
      <c r="B3" s="18">
        <f>IF(D2=0,"",(D2-D3)/D2)</f>
        <v>0.75</v>
      </c>
      <c r="C3" s="19" t="s">
        <v>62</v>
      </c>
      <c r="D3" s="2">
        <f>SUMIFS(FebTable[Jumlah (Rp)],FebTable[Tipe],"Pengeluaran")</f>
        <v>250000</v>
      </c>
      <c r="E3" s="8">
        <f>IFERROR(D3/(D2+D3),0)</f>
        <v>0.2</v>
      </c>
      <c r="K3" s="35" t="str">
        <f>"Uang Makan (hari kerja "&amp;TEXT($AD$1-1,"mmmm")&amp;")"</f>
        <v>Uang Makan (hari kerja January)</v>
      </c>
      <c r="L3" s="36">
        <v>10</v>
      </c>
      <c r="M3" s="37">
        <f>$M$10*$M$11</f>
        <v>0</v>
      </c>
      <c r="N3" s="37">
        <f>SUMIFS(FebTable[Jumlah (Rp)],FebTable[Tipe],"Pemasukan",FebTable[Kategori],"Uang Makan")</f>
        <v>0</v>
      </c>
      <c r="O3" s="37">
        <f ca="1">IF(OR(N3&gt;0,TODAY()&gt;$AD$2),0,N(M3))</f>
        <v>0</v>
      </c>
      <c r="P3" s="35" t="str">
        <f ca="1">IF(N3&gt;0,"sudah cair",IF(TODAY()&gt;$AD$2,"bulan sudah lewat",IF(N(M3)=0,"isi estimasi dulu","menunggu tgl 10")))</f>
        <v>bulan sudah lewat</v>
      </c>
      <c r="Q3" s="33"/>
      <c r="R3" s="36">
        <v>1</v>
      </c>
      <c r="S3" s="38">
        <f>IF($AE$6=0,"",INDEX(FebTable[Tanggal],$AE$6))</f>
        <v>46055</v>
      </c>
      <c r="T3" s="35" t="str">
        <f>IF($AE$6=0,"",INDEX(FebTable[Kategori],$AE$6))</f>
        <v>Kategori Uji 03</v>
      </c>
      <c r="U3" s="37">
        <f>IF($AE$6=0,"",INDEX(FebTable[Jumlah (Rp)],$AE$6))</f>
        <v>250000</v>
      </c>
      <c r="V3" s="35" t="str">
        <f>IF($AE$6=0,"",INDEX(FebTable[Keterangan],$AE$6))</f>
        <v>Belanja uji gamma</v>
      </c>
      <c r="AD3" s="33">
        <f ca="1">IF(TODAY()&gt;=AD2,DAY(AD2),IF(TODAY()&lt;AD1,0,DAY(TODAY())))</f>
        <v>28</v>
      </c>
      <c r="AE3" s="33"/>
      <c r="AF3" s="33">
        <v>2</v>
      </c>
      <c r="AG3" s="33">
        <f t="shared" si="1"/>
        <v>46055</v>
      </c>
      <c r="AH3" s="33">
        <f ca="1">IF(OR(AF3&gt;$AD$4,AF3&gt;$AD$3),NA(),SUMIFS(FebTable[Jumlah (Rp)],FebTable[Tipe],"Pengeluaran",FebTable[Tanggal],"&lt;="&amp;AG3))</f>
        <v>250000</v>
      </c>
      <c r="AI3" s="33">
        <f>IF(AF3&gt;$AD$4,NA(),Rekap!$B$19/$AD$4*AF3)</f>
        <v>16946.428571428572</v>
      </c>
      <c r="AJ3" s="33" t="str">
        <f>Master!$A$7</f>
        <v>Kategori Uji 03</v>
      </c>
      <c r="AK3" s="33">
        <f>SUMIFS(FebTable[Jumlah (Rp)],FebTable[Tipe],"Pengeluaran",FebTable[Kategori],AJ3)</f>
        <v>250000</v>
      </c>
      <c r="AL3" s="33">
        <f>SUMIFS(JanTable[Jumlah (Rp)],JanTable[Tipe],"Pengeluaran",JanTable[Kategori],AJ3)</f>
        <v>0</v>
      </c>
      <c r="AM3" s="33">
        <f t="shared" si="0"/>
        <v>250000.00000299999</v>
      </c>
      <c r="AN3" s="33">
        <f>SUMPRODUCT(MAX(($AM$1:$AM$23&lt;AN2)*$AM$1:$AM$23))</f>
        <v>2.1999999999999999E-5</v>
      </c>
      <c r="AO3" s="33">
        <f>IFERROR(MATCH(AN3,$AM$1:$AM$23,0),0)</f>
        <v>22</v>
      </c>
    </row>
    <row r="4" spans="1:41" ht="24.75" customHeight="1" x14ac:dyDescent="0.25">
      <c r="A4" s="15" t="s">
        <v>63</v>
      </c>
      <c r="B4">
        <f>COUNTA(FebTable[Tanggal])</f>
        <v>2</v>
      </c>
      <c r="C4" s="17" t="s">
        <v>64</v>
      </c>
      <c r="D4" s="20">
        <f>D1+D2-D3</f>
        <v>2750000</v>
      </c>
      <c r="K4" s="35" t="s">
        <v>144</v>
      </c>
      <c r="L4" s="36">
        <v>10</v>
      </c>
      <c r="M4" s="39">
        <v>5000000</v>
      </c>
      <c r="N4" s="37">
        <f>SUMIFS(FebTable[Jumlah (Rp)],FebTable[Tipe],"Pemasukan",FebTable[Kategori],"Gaji")</f>
        <v>0</v>
      </c>
      <c r="O4" s="37">
        <f ca="1">IF(OR(N4&gt;1000000,TODAY()&gt;$AD$2),0,N(M4))</f>
        <v>0</v>
      </c>
      <c r="P4" s="35" t="str">
        <f ca="1">IF(N4&gt;1000000,"sudah cair",IF(TODAY()&gt;$AD$2,"bulan sudah lewat",IF(N(M4)=0,"isi estimasi dulu","menunggu tgl 25")))</f>
        <v>bulan sudah lewat</v>
      </c>
      <c r="Q4" s="33"/>
      <c r="R4" s="36">
        <v>2</v>
      </c>
      <c r="S4" s="38">
        <f>IF($AE$7=0,"",INDEX(FebTable[Tanggal],$AE$7))</f>
        <v>46073</v>
      </c>
      <c r="T4" s="35" t="str">
        <f>IF($AE$7=0,"",INDEX(FebTable[Kategori],$AE$7))</f>
        <v>Pendapatan Uji 02</v>
      </c>
      <c r="U4" s="37">
        <f>IF($AE$7=0,"",INDEX(FebTable[Jumlah (Rp)],$AE$7))</f>
        <v>1000000</v>
      </c>
      <c r="V4" s="35" t="str">
        <f>IF($AE$7=0,"",INDEX(FebTable[Keterangan],$AE$7))</f>
        <v>Pemasukan uji beta</v>
      </c>
      <c r="AD4" s="33">
        <f>DAY(AD2)</f>
        <v>28</v>
      </c>
      <c r="AE4" s="33"/>
      <c r="AF4" s="33">
        <v>3</v>
      </c>
      <c r="AG4" s="33">
        <f t="shared" si="1"/>
        <v>46056</v>
      </c>
      <c r="AH4" s="33">
        <f ca="1">IF(OR(AF4&gt;$AD$4,AF4&gt;$AD$3),NA(),SUMIFS(FebTable[Jumlah (Rp)],FebTable[Tipe],"Pengeluaran",FebTable[Tanggal],"&lt;="&amp;AG4))</f>
        <v>250000</v>
      </c>
      <c r="AI4" s="33">
        <f>IF(AF4&gt;$AD$4,NA(),Rekap!$B$19/$AD$4*AF4)</f>
        <v>25419.642857142859</v>
      </c>
      <c r="AJ4" s="33" t="str">
        <f>Master!$A$8</f>
        <v>Kategori Uji 04</v>
      </c>
      <c r="AK4" s="33">
        <f>SUMIFS(FebTable[Jumlah (Rp)],FebTable[Tipe],"Pengeluaran",FebTable[Kategori],AJ4)</f>
        <v>0</v>
      </c>
      <c r="AL4" s="33">
        <f>SUMIFS(JanTable[Jumlah (Rp)],JanTable[Tipe],"Pengeluaran",JanTable[Kategori],AJ4)</f>
        <v>0</v>
      </c>
      <c r="AM4" s="33">
        <f t="shared" si="0"/>
        <v>3.9999999999999998E-6</v>
      </c>
      <c r="AN4" s="33">
        <f>SUMPRODUCT(MAX(($AM$1:$AM$23&lt;AN3)*$AM$1:$AM$23))</f>
        <v>2.0999999999999999E-5</v>
      </c>
      <c r="AO4" s="33">
        <f>IFERROR(MATCH(AN4,$AM$1:$AM$23,0),0)</f>
        <v>21</v>
      </c>
    </row>
    <row r="5" spans="1:41" ht="24.75" customHeight="1" x14ac:dyDescent="0.25">
      <c r="A5" s="1" t="s">
        <v>49</v>
      </c>
      <c r="B5" s="1" t="s">
        <v>65</v>
      </c>
      <c r="C5" s="1" t="s">
        <v>66</v>
      </c>
      <c r="D5" s="1" t="s">
        <v>25</v>
      </c>
      <c r="E5" s="1" t="s">
        <v>67</v>
      </c>
      <c r="F5" s="1" t="s">
        <v>61</v>
      </c>
      <c r="K5" s="35" t="s">
        <v>145</v>
      </c>
      <c r="L5" s="36">
        <v>20</v>
      </c>
      <c r="M5" s="39">
        <v>1000000</v>
      </c>
      <c r="N5" s="37">
        <f>SUMIFS(FebTable[Jumlah (Rp)],FebTable[Tipe],"Pemasukan",FebTable[Kategori],"Freelance")</f>
        <v>0</v>
      </c>
      <c r="O5" s="37">
        <f ca="1">IF(OR(N5&gt;0,TODAY()&gt;$AD$2),0,N(M5))</f>
        <v>0</v>
      </c>
      <c r="P5" s="35" t="str">
        <f ca="1">IF(N5&gt;0,"sudah cair",IF(TODAY()&gt;$AD$2,"bulan sudah lewat",IF(N(M5)=0,"isi estimasi dulu","menunggu tgl 28")))</f>
        <v>bulan sudah lewat</v>
      </c>
      <c r="Q5" s="33"/>
      <c r="R5" s="36">
        <v>3</v>
      </c>
      <c r="S5" s="38">
        <f>IF($AE$8=0,"",INDEX(FebTable[Tanggal],$AE$8))</f>
        <v>46073</v>
      </c>
      <c r="T5" s="35" t="str">
        <f>IF($AE$8=0,"",INDEX(FebTable[Kategori],$AE$8))</f>
        <v>Pendapatan Uji 02</v>
      </c>
      <c r="U5" s="37">
        <f>IF($AE$8=0,"",INDEX(FebTable[Jumlah (Rp)],$AE$8))</f>
        <v>1000000</v>
      </c>
      <c r="V5" s="35" t="str">
        <f>IF($AE$8=0,"",INDEX(FebTable[Keterangan],$AE$8))</f>
        <v>Pemasukan uji beta</v>
      </c>
      <c r="AD5" s="33"/>
      <c r="AE5" s="33"/>
      <c r="AF5" s="33">
        <v>4</v>
      </c>
      <c r="AG5" s="33">
        <f t="shared" si="1"/>
        <v>46057</v>
      </c>
      <c r="AH5" s="33">
        <f ca="1">IF(OR(AF5&gt;$AD$4,AF5&gt;$AD$3),NA(),SUMIFS(FebTable[Jumlah (Rp)],FebTable[Tipe],"Pengeluaran",FebTable[Tanggal],"&lt;="&amp;AG5))</f>
        <v>250000</v>
      </c>
      <c r="AI5" s="33">
        <f>IF(AF5&gt;$AD$4,NA(),Rekap!$B$19/$AD$4*AF5)</f>
        <v>33892.857142857145</v>
      </c>
      <c r="AJ5" s="33" t="str">
        <f>Master!$A$9</f>
        <v>Kategori Uji 05</v>
      </c>
      <c r="AK5" s="33">
        <f>SUMIFS(FebTable[Jumlah (Rp)],FebTable[Tipe],"Pengeluaran",FebTable[Kategori],AJ5)</f>
        <v>0</v>
      </c>
      <c r="AL5" s="33">
        <f>SUMIFS(JanTable[Jumlah (Rp)],JanTable[Tipe],"Pengeluaran",JanTable[Kategori],AJ5)</f>
        <v>0</v>
      </c>
      <c r="AM5" s="33">
        <f t="shared" si="0"/>
        <v>5.0000000000000004E-6</v>
      </c>
      <c r="AN5" s="33">
        <f>SUMPRODUCT(MAX(($AM$1:$AM$23&lt;AN4)*$AM$1:$AM$23))</f>
        <v>2.0000000000000002E-5</v>
      </c>
      <c r="AO5" s="33">
        <f>IFERROR(MATCH(AN5,$AM$1:$AM$23,0),0)</f>
        <v>20</v>
      </c>
    </row>
    <row r="6" spans="1:41" ht="24.75" customHeight="1" x14ac:dyDescent="0.25">
      <c r="A6" s="59">
        <v>46055</v>
      </c>
      <c r="B6" s="60" t="s">
        <v>4</v>
      </c>
      <c r="C6" s="60" t="s">
        <v>152</v>
      </c>
      <c r="D6" s="61" t="s">
        <v>122</v>
      </c>
      <c r="E6" s="62">
        <v>250000</v>
      </c>
      <c r="F6" s="63" t="s">
        <v>162</v>
      </c>
      <c r="K6" s="40" t="s">
        <v>21</v>
      </c>
      <c r="L6" s="41"/>
      <c r="M6" s="42">
        <f>SUM(M3:M5)</f>
        <v>6000000</v>
      </c>
      <c r="N6" s="42">
        <f>SUM(N3:N5)</f>
        <v>0</v>
      </c>
      <c r="O6" s="42">
        <f ca="1">SUM(O3:O5)</f>
        <v>0</v>
      </c>
      <c r="P6" s="41"/>
      <c r="Q6" s="33"/>
      <c r="R6" s="36">
        <v>4</v>
      </c>
      <c r="S6" s="38">
        <f>IF($AE$9=0,"",INDEX(FebTable[Tanggal],$AE$9))</f>
        <v>46073</v>
      </c>
      <c r="T6" s="35" t="str">
        <f>IF($AE$9=0,"",INDEX(FebTable[Kategori],$AE$9))</f>
        <v>Pendapatan Uji 02</v>
      </c>
      <c r="U6" s="37">
        <f>IF($AE$9=0,"",INDEX(FebTable[Jumlah (Rp)],$AE$9))</f>
        <v>1000000</v>
      </c>
      <c r="V6" s="35" t="str">
        <f>IF($AE$9=0,"",INDEX(FebTable[Keterangan],$AE$9))</f>
        <v>Pemasukan uji beta</v>
      </c>
      <c r="AD6" s="33">
        <f>SUMPRODUCT(MAX((FebTable[Tipe]="Pengeluaran")*(FebTable[Jumlah (Rp)]+ROW(FebTable[Jumlah (Rp)])/1000000)))</f>
        <v>250000.00000599999</v>
      </c>
      <c r="AE6" s="33">
        <f>IFERROR(SUMPRODUCT(MATCH(AD6,(FebTable[Tipe]="Pengeluaran")*(FebTable[Jumlah (Rp)]+ROW(FebTable[Jumlah (Rp)])/1000000),0)),0)</f>
        <v>1</v>
      </c>
      <c r="AF6" s="33">
        <v>5</v>
      </c>
      <c r="AG6" s="33">
        <f t="shared" si="1"/>
        <v>46058</v>
      </c>
      <c r="AH6" s="33">
        <f ca="1">IF(OR(AF6&gt;$AD$4,AF6&gt;$AD$3),NA(),SUMIFS(FebTable[Jumlah (Rp)],FebTable[Tipe],"Pengeluaran",FebTable[Tanggal],"&lt;="&amp;AG6))</f>
        <v>250000</v>
      </c>
      <c r="AI6" s="33">
        <f>IF(AF6&gt;$AD$4,NA(),Rekap!$B$19/$AD$4*AF6)</f>
        <v>42366.071428571435</v>
      </c>
      <c r="AJ6" s="33" t="str">
        <f>Master!$A$10</f>
        <v>Kategori Uji 06</v>
      </c>
      <c r="AK6" s="33">
        <f>SUMIFS(FebTable[Jumlah (Rp)],FebTable[Tipe],"Pengeluaran",FebTable[Kategori],AJ6)</f>
        <v>0</v>
      </c>
      <c r="AL6" s="33">
        <f>SUMIFS(JanTable[Jumlah (Rp)],JanTable[Tipe],"Pengeluaran",JanTable[Kategori],AJ6)</f>
        <v>0</v>
      </c>
      <c r="AM6" s="33">
        <f t="shared" si="0"/>
        <v>6.0000000000000002E-6</v>
      </c>
      <c r="AN6" s="33"/>
      <c r="AO6" s="33"/>
    </row>
    <row r="7" spans="1:41" ht="24.75" customHeight="1" x14ac:dyDescent="0.25">
      <c r="A7" s="59">
        <v>46073</v>
      </c>
      <c r="B7" s="60" t="s">
        <v>3</v>
      </c>
      <c r="C7" s="60" t="s">
        <v>152</v>
      </c>
      <c r="D7" s="61" t="s">
        <v>145</v>
      </c>
      <c r="E7" s="62">
        <v>1000000</v>
      </c>
      <c r="F7" s="63" t="s">
        <v>163</v>
      </c>
      <c r="K7" s="33"/>
      <c r="L7" s="33"/>
      <c r="M7" s="33"/>
      <c r="N7" s="33"/>
      <c r="O7" s="33"/>
      <c r="P7" s="33"/>
      <c r="Q7" s="33"/>
      <c r="R7" s="36">
        <v>5</v>
      </c>
      <c r="S7" s="38">
        <f>IF($AE$10=0,"",INDEX(FebTable[Tanggal],$AE$10))</f>
        <v>46073</v>
      </c>
      <c r="T7" s="35" t="str">
        <f>IF($AE$10=0,"",INDEX(FebTable[Kategori],$AE$10))</f>
        <v>Pendapatan Uji 02</v>
      </c>
      <c r="U7" s="37">
        <f>IF($AE$10=0,"",INDEX(FebTable[Jumlah (Rp)],$AE$10))</f>
        <v>1000000</v>
      </c>
      <c r="V7" s="35" t="str">
        <f>IF($AE$10=0,"",INDEX(FebTable[Keterangan],$AE$10))</f>
        <v>Pemasukan uji beta</v>
      </c>
      <c r="AD7" s="33">
        <f>SUMPRODUCT(MAX((FebTable[Tipe]="Pengeluaran")*((FebTable[Jumlah (Rp)]+ROW(FebTable[Jumlah (Rp)])/1000000)&lt;AD6)*(FebTable[Jumlah (Rp)]+ROW(FebTable[Jumlah (Rp)])/1000000)))</f>
        <v>0</v>
      </c>
      <c r="AE7" s="33">
        <f>IFERROR(SUMPRODUCT(MATCH(AD7,(FebTable[Tipe]="Pengeluaran")*(FebTable[Jumlah (Rp)]+ROW(FebTable[Jumlah (Rp)])/1000000),0)),0)</f>
        <v>2</v>
      </c>
      <c r="AF7" s="33">
        <v>6</v>
      </c>
      <c r="AG7" s="33">
        <f t="shared" si="1"/>
        <v>46059</v>
      </c>
      <c r="AH7" s="33">
        <f ca="1">IF(OR(AF7&gt;$AD$4,AF7&gt;$AD$3),NA(),SUMIFS(FebTable[Jumlah (Rp)],FebTable[Tipe],"Pengeluaran",FebTable[Tanggal],"&lt;="&amp;AG7))</f>
        <v>250000</v>
      </c>
      <c r="AI7" s="33">
        <f>IF(AF7&gt;$AD$4,NA(),Rekap!$B$19/$AD$4*AF7)</f>
        <v>50839.285714285717</v>
      </c>
      <c r="AJ7" s="33" t="str">
        <f>Master!$A$11</f>
        <v>Kategori Uji 07</v>
      </c>
      <c r="AK7" s="33">
        <f>SUMIFS(FebTable[Jumlah (Rp)],FebTable[Tipe],"Pengeluaran",FebTable[Kategori],AJ7)</f>
        <v>0</v>
      </c>
      <c r="AL7" s="33">
        <f>SUMIFS(JanTable[Jumlah (Rp)],JanTable[Tipe],"Pengeluaran",JanTable[Kategori],AJ7)</f>
        <v>0</v>
      </c>
      <c r="AM7" s="33">
        <f t="shared" si="0"/>
        <v>6.9999999999999999E-6</v>
      </c>
      <c r="AN7" s="33"/>
      <c r="AO7" s="33"/>
    </row>
    <row r="8" spans="1:41" ht="24.75" customHeight="1" x14ac:dyDescent="0.25">
      <c r="A8" s="5"/>
      <c r="B8" s="3"/>
      <c r="C8" s="3"/>
      <c r="D8" s="3"/>
      <c r="E8" s="6"/>
      <c r="F8" s="4"/>
      <c r="K8" s="43" t="s">
        <v>68</v>
      </c>
      <c r="L8" s="33"/>
      <c r="M8" s="33"/>
      <c r="N8" s="33"/>
      <c r="O8" s="33"/>
      <c r="P8" s="33"/>
      <c r="Q8" s="33"/>
      <c r="R8" s="52" t="s">
        <v>69</v>
      </c>
      <c r="S8" s="55"/>
      <c r="T8" s="55"/>
      <c r="U8" s="42">
        <f>SUM(U3:U7)</f>
        <v>4250000</v>
      </c>
      <c r="V8" s="44">
        <f>IFERROR(U8/$D$3,0)</f>
        <v>17</v>
      </c>
      <c r="AD8" s="33">
        <f>SUMPRODUCT(MAX((FebTable[Tipe]="Pengeluaran")*((FebTable[Jumlah (Rp)]+ROW(FebTable[Jumlah (Rp)])/1000000)&lt;AD7)*(FebTable[Jumlah (Rp)]+ROW(FebTable[Jumlah (Rp)])/1000000)))</f>
        <v>0</v>
      </c>
      <c r="AE8" s="33">
        <f>IFERROR(SUMPRODUCT(MATCH(AD8,(FebTable[Tipe]="Pengeluaran")*(FebTable[Jumlah (Rp)]+ROW(FebTable[Jumlah (Rp)])/1000000),0)),0)</f>
        <v>2</v>
      </c>
      <c r="AF8" s="33">
        <v>7</v>
      </c>
      <c r="AG8" s="33">
        <f t="shared" si="1"/>
        <v>46060</v>
      </c>
      <c r="AH8" s="33">
        <f ca="1">IF(OR(AF8&gt;$AD$4,AF8&gt;$AD$3),NA(),SUMIFS(FebTable[Jumlah (Rp)],FebTable[Tipe],"Pengeluaran",FebTable[Tanggal],"&lt;="&amp;AG8))</f>
        <v>250000</v>
      </c>
      <c r="AI8" s="33">
        <f>IF(AF8&gt;$AD$4,NA(),Rekap!$B$19/$AD$4*AF8)</f>
        <v>59312.5</v>
      </c>
      <c r="AJ8" s="33" t="str">
        <f>Master!$A$12</f>
        <v>Kategori Uji 08</v>
      </c>
      <c r="AK8" s="33">
        <f>SUMIFS(FebTable[Jumlah (Rp)],FebTable[Tipe],"Pengeluaran",FebTable[Kategori],AJ8)</f>
        <v>0</v>
      </c>
      <c r="AL8" s="33">
        <f>SUMIFS(JanTable[Jumlah (Rp)],JanTable[Tipe],"Pengeluaran",JanTable[Kategori],AJ8)</f>
        <v>0</v>
      </c>
      <c r="AM8" s="33">
        <f t="shared" si="0"/>
        <v>7.9999999999999996E-6</v>
      </c>
      <c r="AN8" s="33"/>
      <c r="AO8" s="33"/>
    </row>
    <row r="9" spans="1:41" ht="24.75" customHeight="1" x14ac:dyDescent="0.25">
      <c r="A9" s="5"/>
      <c r="B9" s="3"/>
      <c r="C9" s="3"/>
      <c r="D9" s="3"/>
      <c r="E9" s="6"/>
      <c r="F9" s="4"/>
      <c r="K9" s="56" t="s">
        <v>61</v>
      </c>
      <c r="L9" s="53"/>
      <c r="M9" s="34" t="s">
        <v>70</v>
      </c>
      <c r="N9" s="33"/>
      <c r="O9" s="33"/>
      <c r="P9" s="33"/>
      <c r="Q9" s="33"/>
      <c r="R9" s="33"/>
      <c r="S9" s="33"/>
      <c r="T9" s="33"/>
      <c r="U9" s="33"/>
      <c r="V9" s="33"/>
      <c r="AD9" s="33">
        <f>SUMPRODUCT(MAX((FebTable[Tipe]="Pengeluaran")*((FebTable[Jumlah (Rp)]+ROW(FebTable[Jumlah (Rp)])/1000000)&lt;AD8)*(FebTable[Jumlah (Rp)]+ROW(FebTable[Jumlah (Rp)])/1000000)))</f>
        <v>0</v>
      </c>
      <c r="AE9" s="33">
        <f>IFERROR(SUMPRODUCT(MATCH(AD9,(FebTable[Tipe]="Pengeluaran")*(FebTable[Jumlah (Rp)]+ROW(FebTable[Jumlah (Rp)])/1000000),0)),0)</f>
        <v>2</v>
      </c>
      <c r="AF9" s="33">
        <v>8</v>
      </c>
      <c r="AG9" s="33">
        <f t="shared" si="1"/>
        <v>46061</v>
      </c>
      <c r="AH9" s="33">
        <f ca="1">IF(OR(AF9&gt;$AD$4,AF9&gt;$AD$3),NA(),SUMIFS(FebTable[Jumlah (Rp)],FebTable[Tipe],"Pengeluaran",FebTable[Tanggal],"&lt;="&amp;AG9))</f>
        <v>250000</v>
      </c>
      <c r="AI9" s="33">
        <f>IF(AF9&gt;$AD$4,NA(),Rekap!$B$19/$AD$4*AF9)</f>
        <v>67785.71428571429</v>
      </c>
      <c r="AJ9" s="33" t="str">
        <f>Master!$A$13</f>
        <v>Kategori Uji 09</v>
      </c>
      <c r="AK9" s="33">
        <f>SUMIFS(FebTable[Jumlah (Rp)],FebTable[Tipe],"Pengeluaran",FebTable[Kategori],AJ9)</f>
        <v>0</v>
      </c>
      <c r="AL9" s="33">
        <f>SUMIFS(JanTable[Jumlah (Rp)],JanTable[Tipe],"Pengeluaran",JanTable[Kategori],AJ9)</f>
        <v>0</v>
      </c>
      <c r="AM9" s="33">
        <f t="shared" si="0"/>
        <v>9.0000000000000002E-6</v>
      </c>
      <c r="AN9" s="33"/>
      <c r="AO9" s="33"/>
    </row>
    <row r="10" spans="1:41" ht="24.75" customHeight="1" x14ac:dyDescent="0.25">
      <c r="A10" s="5"/>
      <c r="B10" s="3"/>
      <c r="C10" s="3"/>
      <c r="D10" s="3"/>
      <c r="E10" s="6"/>
      <c r="F10" s="4"/>
      <c r="K10" s="54" t="str">
        <f>"Hari kerja "&amp;TEXT($AD$1-1,"mmmm")</f>
        <v>Hari kerja January</v>
      </c>
      <c r="L10" s="53"/>
      <c r="M10" s="45"/>
      <c r="N10" s="33"/>
      <c r="O10" s="33"/>
      <c r="P10" s="33"/>
      <c r="Q10" s="33"/>
      <c r="R10" s="32" t="s">
        <v>71</v>
      </c>
      <c r="S10" s="33"/>
      <c r="T10" s="33"/>
      <c r="U10" s="33"/>
      <c r="V10" s="33"/>
      <c r="AD10" s="33">
        <f>SUMPRODUCT(MAX((FebTable[Tipe]="Pengeluaran")*((FebTable[Jumlah (Rp)]+ROW(FebTable[Jumlah (Rp)])/1000000)&lt;AD9)*(FebTable[Jumlah (Rp)]+ROW(FebTable[Jumlah (Rp)])/1000000)))</f>
        <v>0</v>
      </c>
      <c r="AE10" s="33">
        <f>IFERROR(SUMPRODUCT(MATCH(AD10,(FebTable[Tipe]="Pengeluaran")*(FebTable[Jumlah (Rp)]+ROW(FebTable[Jumlah (Rp)])/1000000),0)),0)</f>
        <v>2</v>
      </c>
      <c r="AF10" s="33">
        <v>9</v>
      </c>
      <c r="AG10" s="33">
        <f t="shared" si="1"/>
        <v>46062</v>
      </c>
      <c r="AH10" s="33">
        <f ca="1">IF(OR(AF10&gt;$AD$4,AF10&gt;$AD$3),NA(),SUMIFS(FebTable[Jumlah (Rp)],FebTable[Tipe],"Pengeluaran",FebTable[Tanggal],"&lt;="&amp;AG10))</f>
        <v>250000</v>
      </c>
      <c r="AI10" s="33">
        <f>IF(AF10&gt;$AD$4,NA(),Rekap!$B$19/$AD$4*AF10)</f>
        <v>76258.92857142858</v>
      </c>
      <c r="AJ10" s="33" t="str">
        <f>Master!$A$14</f>
        <v>Kategori Uji 10</v>
      </c>
      <c r="AK10" s="33">
        <f>SUMIFS(FebTable[Jumlah (Rp)],FebTable[Tipe],"Pengeluaran",FebTable[Kategori],AJ10)</f>
        <v>0</v>
      </c>
      <c r="AL10" s="33">
        <f>SUMIFS(JanTable[Jumlah (Rp)],JanTable[Tipe],"Pengeluaran",JanTable[Kategori],AJ10)</f>
        <v>0</v>
      </c>
      <c r="AM10" s="33">
        <f t="shared" si="0"/>
        <v>1.0000000000000001E-5</v>
      </c>
      <c r="AN10" s="33"/>
      <c r="AO10" s="33"/>
    </row>
    <row r="11" spans="1:41" ht="24.75" customHeight="1" x14ac:dyDescent="0.25">
      <c r="A11" s="5"/>
      <c r="B11" s="3"/>
      <c r="C11" s="3"/>
      <c r="D11" s="3"/>
      <c r="E11" s="6"/>
      <c r="F11" s="4"/>
      <c r="K11" s="54" t="s">
        <v>72</v>
      </c>
      <c r="L11" s="53"/>
      <c r="M11" s="39">
        <v>50000</v>
      </c>
      <c r="N11" s="33"/>
      <c r="O11" s="33"/>
      <c r="P11" s="33"/>
      <c r="Q11" s="33"/>
      <c r="R11" s="34" t="s">
        <v>84</v>
      </c>
      <c r="S11" s="34" t="s">
        <v>26</v>
      </c>
      <c r="T11" s="34" t="s">
        <v>27</v>
      </c>
      <c r="U11" s="34" t="s">
        <v>5</v>
      </c>
      <c r="V11" s="34" t="s">
        <v>95</v>
      </c>
      <c r="AD11" s="33"/>
      <c r="AE11" s="33"/>
      <c r="AF11" s="33">
        <v>10</v>
      </c>
      <c r="AG11" s="33">
        <f t="shared" si="1"/>
        <v>46063</v>
      </c>
      <c r="AH11" s="33">
        <f ca="1">IF(OR(AF11&gt;$AD$4,AF11&gt;$AD$3),NA(),SUMIFS(FebTable[Jumlah (Rp)],FebTable[Tipe],"Pengeluaran",FebTable[Tanggal],"&lt;="&amp;AG11))</f>
        <v>250000</v>
      </c>
      <c r="AI11" s="33">
        <f>IF(AF11&gt;$AD$4,NA(),Rekap!$B$19/$AD$4*AF11)</f>
        <v>84732.14285714287</v>
      </c>
      <c r="AJ11" s="33" t="str">
        <f>Master!$A$15</f>
        <v>Kategori Uji 11</v>
      </c>
      <c r="AK11" s="33">
        <f>SUMIFS(FebTable[Jumlah (Rp)],FebTable[Tipe],"Pengeluaran",FebTable[Kategori],AJ11)</f>
        <v>0</v>
      </c>
      <c r="AL11" s="33">
        <f>SUMIFS(JanTable[Jumlah (Rp)],JanTable[Tipe],"Pengeluaran",JanTable[Kategori],AJ11)</f>
        <v>0</v>
      </c>
      <c r="AM11" s="33">
        <f t="shared" si="0"/>
        <v>1.1E-5</v>
      </c>
      <c r="AN11" s="33"/>
      <c r="AO11" s="33"/>
    </row>
    <row r="12" spans="1:41" ht="24.75" customHeight="1" x14ac:dyDescent="0.25">
      <c r="A12" s="5"/>
      <c r="B12" s="3"/>
      <c r="C12" s="3"/>
      <c r="D12" s="3"/>
      <c r="E12" s="6"/>
      <c r="F12" s="4"/>
      <c r="H12" s="9" t="s">
        <v>65</v>
      </c>
      <c r="I12" t="s">
        <v>4</v>
      </c>
      <c r="K12" s="33"/>
      <c r="L12" s="33"/>
      <c r="M12" s="33"/>
      <c r="N12" s="33"/>
      <c r="O12" s="33"/>
      <c r="P12" s="33"/>
      <c r="Q12" s="33"/>
      <c r="R12" s="35" t="s">
        <v>3</v>
      </c>
      <c r="S12" s="37">
        <f>SUMIFS(JanTable[Jumlah (Rp)],JanTable[Tipe],"Pemasukan")</f>
        <v>5000000</v>
      </c>
      <c r="T12" s="37">
        <f>SUMIFS(FebTable[Jumlah (Rp)],FebTable[Tipe],"Pemasukan")</f>
        <v>1000000</v>
      </c>
      <c r="U12" s="37">
        <f>T12-S12</f>
        <v>-4000000</v>
      </c>
      <c r="V12" s="48">
        <f>IFERROR(U12/S12,"")</f>
        <v>-0.8</v>
      </c>
      <c r="AD12" s="33"/>
      <c r="AE12" s="33"/>
      <c r="AF12" s="33">
        <v>11</v>
      </c>
      <c r="AG12" s="33">
        <f t="shared" si="1"/>
        <v>46064</v>
      </c>
      <c r="AH12" s="33">
        <f ca="1">IF(OR(AF12&gt;$AD$4,AF12&gt;$AD$3),NA(),SUMIFS(FebTable[Jumlah (Rp)],FebTable[Tipe],"Pengeluaran",FebTable[Tanggal],"&lt;="&amp;AG12))</f>
        <v>250000</v>
      </c>
      <c r="AI12" s="33">
        <f>IF(AF12&gt;$AD$4,NA(),Rekap!$B$19/$AD$4*AF12)</f>
        <v>93205.357142857145</v>
      </c>
      <c r="AJ12" s="33" t="str">
        <f>Master!$A$16</f>
        <v>Kategori Uji 12</v>
      </c>
      <c r="AK12" s="33">
        <f>SUMIFS(FebTable[Jumlah (Rp)],FebTable[Tipe],"Pengeluaran",FebTable[Kategori],AJ12)</f>
        <v>0</v>
      </c>
      <c r="AL12" s="33">
        <f>SUMIFS(JanTable[Jumlah (Rp)],JanTable[Tipe],"Pengeluaran",JanTable[Kategori],AJ12)</f>
        <v>0</v>
      </c>
      <c r="AM12" s="33">
        <f t="shared" si="0"/>
        <v>1.2E-5</v>
      </c>
      <c r="AN12" s="33"/>
      <c r="AO12" s="33"/>
    </row>
    <row r="13" spans="1:41" ht="24.75" customHeight="1" x14ac:dyDescent="0.25">
      <c r="A13" s="5"/>
      <c r="B13" s="3"/>
      <c r="C13" s="3"/>
      <c r="D13" s="3"/>
      <c r="E13" s="6"/>
      <c r="F13" s="4"/>
      <c r="H13" s="57" t="s">
        <v>74</v>
      </c>
      <c r="I13" s="58"/>
      <c r="K13" s="43" t="s">
        <v>75</v>
      </c>
      <c r="L13" s="33"/>
      <c r="M13" s="33"/>
      <c r="N13" s="33"/>
      <c r="O13" s="33"/>
      <c r="P13" s="33"/>
      <c r="Q13" s="33"/>
      <c r="R13" s="35" t="s">
        <v>4</v>
      </c>
      <c r="S13" s="37">
        <f>SUMIFS(JanTable[Jumlah (Rp)],JanTable[Tipe],"Pengeluaran")</f>
        <v>200000</v>
      </c>
      <c r="T13" s="37">
        <f>SUMIFS(FebTable[Jumlah (Rp)],FebTable[Tipe],"Pengeluaran")</f>
        <v>250000</v>
      </c>
      <c r="U13" s="37">
        <f>T13-S13</f>
        <v>50000</v>
      </c>
      <c r="V13" s="48">
        <f>IFERROR(U13/S13,"")</f>
        <v>0.25</v>
      </c>
      <c r="AD13" s="33"/>
      <c r="AE13" s="33"/>
      <c r="AF13" s="33">
        <v>12</v>
      </c>
      <c r="AG13" s="33">
        <f t="shared" si="1"/>
        <v>46065</v>
      </c>
      <c r="AH13" s="33">
        <f ca="1">IF(OR(AF13&gt;$AD$4,AF13&gt;$AD$3),NA(),SUMIFS(FebTable[Jumlah (Rp)],FebTable[Tipe],"Pengeluaran",FebTable[Tanggal],"&lt;="&amp;AG13))</f>
        <v>250000</v>
      </c>
      <c r="AI13" s="33">
        <f>IF(AF13&gt;$AD$4,NA(),Rekap!$B$19/$AD$4*AF13)</f>
        <v>101678.57142857143</v>
      </c>
      <c r="AJ13" s="33" t="str">
        <f>Master!$A$17</f>
        <v>Kategori Uji 13</v>
      </c>
      <c r="AK13" s="33">
        <f>SUMIFS(FebTable[Jumlah (Rp)],FebTable[Tipe],"Pengeluaran",FebTable[Kategori],AJ13)</f>
        <v>0</v>
      </c>
      <c r="AL13" s="33">
        <f>SUMIFS(JanTable[Jumlah (Rp)],JanTable[Tipe],"Pengeluaran",JanTable[Kategori],AJ13)</f>
        <v>0</v>
      </c>
      <c r="AM13" s="33">
        <f t="shared" si="0"/>
        <v>1.2999999999999999E-5</v>
      </c>
      <c r="AN13" s="33"/>
      <c r="AO13" s="33"/>
    </row>
    <row r="14" spans="1:41" ht="24.75" customHeight="1" x14ac:dyDescent="0.25">
      <c r="A14" s="5"/>
      <c r="B14" s="3"/>
      <c r="C14" s="3"/>
      <c r="D14" s="3"/>
      <c r="E14" s="6"/>
      <c r="F14" s="4"/>
      <c r="H14" s="9" t="s">
        <v>25</v>
      </c>
      <c r="I14" t="s">
        <v>76</v>
      </c>
      <c r="K14" s="56" t="s">
        <v>61</v>
      </c>
      <c r="L14" s="53"/>
      <c r="M14" s="34" t="s">
        <v>70</v>
      </c>
      <c r="N14" s="33"/>
      <c r="O14" s="33"/>
      <c r="P14" s="33"/>
      <c r="Q14" s="33"/>
      <c r="R14" s="35" t="s">
        <v>96</v>
      </c>
      <c r="S14" s="47">
        <f>COUNTA(JanTable[Tanggal])</f>
        <v>3</v>
      </c>
      <c r="T14" s="47">
        <f>COUNTA(FebTable[Tanggal])</f>
        <v>2</v>
      </c>
      <c r="U14" s="47">
        <f>T14-S14</f>
        <v>-1</v>
      </c>
      <c r="V14" s="48">
        <f>IFERROR(U14/S14,"")</f>
        <v>-0.33333333333333331</v>
      </c>
      <c r="AD14" s="33"/>
      <c r="AE14" s="33"/>
      <c r="AF14" s="33">
        <v>13</v>
      </c>
      <c r="AG14" s="33">
        <f t="shared" si="1"/>
        <v>46066</v>
      </c>
      <c r="AH14" s="33">
        <f ca="1">IF(OR(AF14&gt;$AD$4,AF14&gt;$AD$3),NA(),SUMIFS(FebTable[Jumlah (Rp)],FebTable[Tipe],"Pengeluaran",FebTable[Tanggal],"&lt;="&amp;AG14))</f>
        <v>250000</v>
      </c>
      <c r="AI14" s="33">
        <f>IF(AF14&gt;$AD$4,NA(),Rekap!$B$19/$AD$4*AF14)</f>
        <v>110151.78571428572</v>
      </c>
      <c r="AJ14" s="33" t="str">
        <f>Master!$A$18</f>
        <v>Kategori Uji 14</v>
      </c>
      <c r="AK14" s="33">
        <f>SUMIFS(FebTable[Jumlah (Rp)],FebTable[Tipe],"Pengeluaran",FebTable[Kategori],AJ14)</f>
        <v>0</v>
      </c>
      <c r="AL14" s="33">
        <f>SUMIFS(JanTable[Jumlah (Rp)],JanTable[Tipe],"Pengeluaran",JanTable[Kategori],AJ14)</f>
        <v>0</v>
      </c>
      <c r="AM14" s="33">
        <f t="shared" si="0"/>
        <v>1.4E-5</v>
      </c>
      <c r="AN14" s="33"/>
      <c r="AO14" s="33"/>
    </row>
    <row r="15" spans="1:41" ht="24.75" customHeight="1" x14ac:dyDescent="0.25">
      <c r="A15" s="5"/>
      <c r="B15" s="3"/>
      <c r="C15" s="3"/>
      <c r="D15" s="3"/>
      <c r="E15" s="6"/>
      <c r="F15" s="4"/>
      <c r="H15" s="10" t="s">
        <v>122</v>
      </c>
      <c r="I15" s="7">
        <v>250000</v>
      </c>
      <c r="K15" s="54" t="s">
        <v>77</v>
      </c>
      <c r="L15" s="53"/>
      <c r="M15" s="37">
        <f>D2</f>
        <v>1000000</v>
      </c>
      <c r="N15" s="33"/>
      <c r="O15" s="33"/>
      <c r="P15" s="33"/>
      <c r="Q15" s="33"/>
      <c r="R15" s="35" t="s">
        <v>97</v>
      </c>
      <c r="S15" s="37">
        <f>IFERROR(S13/S14,0)</f>
        <v>66666.666666666672</v>
      </c>
      <c r="T15" s="37">
        <f>IFERROR(T13/T14,0)</f>
        <v>125000</v>
      </c>
      <c r="U15" s="37">
        <f>T15-S15</f>
        <v>58333.333333333328</v>
      </c>
      <c r="V15" s="48">
        <f>IFERROR(U15/S15,"")</f>
        <v>0.87499999999999989</v>
      </c>
      <c r="AD15" s="33"/>
      <c r="AE15" s="33"/>
      <c r="AF15" s="33">
        <v>14</v>
      </c>
      <c r="AG15" s="33">
        <f t="shared" si="1"/>
        <v>46067</v>
      </c>
      <c r="AH15" s="33">
        <f ca="1">IF(OR(AF15&gt;$AD$4,AF15&gt;$AD$3),NA(),SUMIFS(FebTable[Jumlah (Rp)],FebTable[Tipe],"Pengeluaran",FebTable[Tanggal],"&lt;="&amp;AG15))</f>
        <v>250000</v>
      </c>
      <c r="AI15" s="33">
        <f>IF(AF15&gt;$AD$4,NA(),Rekap!$B$19/$AD$4*AF15)</f>
        <v>118625</v>
      </c>
      <c r="AJ15" s="33" t="str">
        <f>Master!$A$19</f>
        <v>Kategori Uji 15</v>
      </c>
      <c r="AK15" s="33">
        <f>SUMIFS(FebTable[Jumlah (Rp)],FebTable[Tipe],"Pengeluaran",FebTable[Kategori],AJ15)</f>
        <v>0</v>
      </c>
      <c r="AL15" s="33">
        <f>SUMIFS(JanTable[Jumlah (Rp)],JanTable[Tipe],"Pengeluaran",JanTable[Kategori],AJ15)</f>
        <v>0</v>
      </c>
      <c r="AM15" s="33">
        <f t="shared" si="0"/>
        <v>1.5E-5</v>
      </c>
      <c r="AN15" s="33"/>
      <c r="AO15" s="33"/>
    </row>
    <row r="16" spans="1:41" ht="24.75" customHeight="1" x14ac:dyDescent="0.25">
      <c r="A16" s="5"/>
      <c r="B16" s="3"/>
      <c r="C16" s="3"/>
      <c r="D16" s="3"/>
      <c r="E16" s="6"/>
      <c r="F16" s="4"/>
      <c r="H16" s="10" t="s">
        <v>92</v>
      </c>
      <c r="I16" s="7">
        <v>250000</v>
      </c>
      <c r="K16" s="54" t="s">
        <v>57</v>
      </c>
      <c r="L16" s="53"/>
      <c r="M16" s="37">
        <f ca="1">O6</f>
        <v>0</v>
      </c>
      <c r="N16" s="33"/>
      <c r="O16" s="33"/>
      <c r="P16" s="33"/>
      <c r="Q16" s="33"/>
      <c r="R16" s="33"/>
      <c r="S16" s="33"/>
      <c r="T16" s="33"/>
      <c r="U16" s="33"/>
      <c r="V16" s="33"/>
      <c r="AD16" s="33"/>
      <c r="AE16" s="33"/>
      <c r="AF16" s="33">
        <v>15</v>
      </c>
      <c r="AG16" s="33">
        <f t="shared" si="1"/>
        <v>46068</v>
      </c>
      <c r="AH16" s="33">
        <f ca="1">IF(OR(AF16&gt;$AD$4,AF16&gt;$AD$3),NA(),SUMIFS(FebTable[Jumlah (Rp)],FebTable[Tipe],"Pengeluaran",FebTable[Tanggal],"&lt;="&amp;AG16))</f>
        <v>250000</v>
      </c>
      <c r="AI16" s="33">
        <f>IF(AF16&gt;$AD$4,NA(),Rekap!$B$19/$AD$4*AF16)</f>
        <v>127098.21428571429</v>
      </c>
      <c r="AJ16" s="33" t="str">
        <f>Master!$A$20</f>
        <v>Kategori Uji 16</v>
      </c>
      <c r="AK16" s="33">
        <f>SUMIFS(FebTable[Jumlah (Rp)],FebTable[Tipe],"Pengeluaran",FebTable[Kategori],AJ16)</f>
        <v>0</v>
      </c>
      <c r="AL16" s="33">
        <f>SUMIFS(JanTable[Jumlah (Rp)],JanTable[Tipe],"Pengeluaran",JanTable[Kategori],AJ16)</f>
        <v>0</v>
      </c>
      <c r="AM16" s="33">
        <f t="shared" si="0"/>
        <v>1.5999999999999999E-5</v>
      </c>
      <c r="AN16" s="33"/>
      <c r="AO16" s="33"/>
    </row>
    <row r="17" spans="1:41" ht="24.75" customHeight="1" x14ac:dyDescent="0.25">
      <c r="A17" s="5"/>
      <c r="B17" s="3"/>
      <c r="C17" s="3"/>
      <c r="D17" s="3"/>
      <c r="E17" s="6"/>
      <c r="F17" s="4"/>
      <c r="K17" s="54" t="s">
        <v>78</v>
      </c>
      <c r="L17" s="53"/>
      <c r="M17" s="37">
        <f ca="1">M15+M16</f>
        <v>1000000</v>
      </c>
      <c r="N17" s="33"/>
      <c r="O17" s="33"/>
      <c r="P17" s="33"/>
      <c r="Q17" s="33"/>
      <c r="R17" s="43" t="s">
        <v>98</v>
      </c>
      <c r="S17" s="33"/>
      <c r="T17" s="33"/>
      <c r="U17" s="33"/>
      <c r="V17" s="33"/>
      <c r="AD17" s="33"/>
      <c r="AE17" s="33"/>
      <c r="AF17" s="33">
        <v>16</v>
      </c>
      <c r="AG17" s="33">
        <f t="shared" si="1"/>
        <v>46069</v>
      </c>
      <c r="AH17" s="33">
        <f ca="1">IF(OR(AF17&gt;$AD$4,AF17&gt;$AD$3),NA(),SUMIFS(FebTable[Jumlah (Rp)],FebTable[Tipe],"Pengeluaran",FebTable[Tanggal],"&lt;="&amp;AG17))</f>
        <v>250000</v>
      </c>
      <c r="AI17" s="33">
        <f>IF(AF17&gt;$AD$4,NA(),Rekap!$B$19/$AD$4*AF17)</f>
        <v>135571.42857142858</v>
      </c>
      <c r="AJ17" s="33" t="str">
        <f>Master!$A$21</f>
        <v>Kategori Uji 17</v>
      </c>
      <c r="AK17" s="33">
        <f>SUMIFS(FebTable[Jumlah (Rp)],FebTable[Tipe],"Pengeluaran",FebTable[Kategori],AJ17)</f>
        <v>0</v>
      </c>
      <c r="AL17" s="33">
        <f>SUMIFS(JanTable[Jumlah (Rp)],JanTable[Tipe],"Pengeluaran",JanTable[Kategori],AJ17)</f>
        <v>0</v>
      </c>
      <c r="AM17" s="33">
        <f t="shared" si="0"/>
        <v>1.7E-5</v>
      </c>
      <c r="AN17" s="33"/>
      <c r="AO17" s="33"/>
    </row>
    <row r="18" spans="1:41" ht="24.75" customHeight="1" x14ac:dyDescent="0.25">
      <c r="A18" s="5"/>
      <c r="B18" s="3"/>
      <c r="C18" s="3"/>
      <c r="D18" s="3"/>
      <c r="E18" s="6"/>
      <c r="F18" s="4"/>
      <c r="K18" s="54" t="s">
        <v>79</v>
      </c>
      <c r="L18" s="53"/>
      <c r="M18" s="37">
        <f ca="1">M29</f>
        <v>250000.00000000003</v>
      </c>
      <c r="N18" s="33"/>
      <c r="O18" s="33"/>
      <c r="P18" s="33"/>
      <c r="Q18" s="33"/>
      <c r="R18" s="34" t="s">
        <v>25</v>
      </c>
      <c r="S18" s="34" t="s">
        <v>26</v>
      </c>
      <c r="T18" s="34" t="s">
        <v>27</v>
      </c>
      <c r="U18" s="34" t="s">
        <v>5</v>
      </c>
      <c r="V18" s="34" t="s">
        <v>95</v>
      </c>
      <c r="AD18" s="33"/>
      <c r="AE18" s="33"/>
      <c r="AF18" s="33">
        <v>17</v>
      </c>
      <c r="AG18" s="33">
        <f t="shared" si="1"/>
        <v>46070</v>
      </c>
      <c r="AH18" s="33">
        <f ca="1">IF(OR(AF18&gt;$AD$4,AF18&gt;$AD$3),NA(),SUMIFS(FebTable[Jumlah (Rp)],FebTable[Tipe],"Pengeluaran",FebTable[Tanggal],"&lt;="&amp;AG18))</f>
        <v>250000</v>
      </c>
      <c r="AI18" s="33">
        <f>IF(AF18&gt;$AD$4,NA(),Rekap!$B$19/$AD$4*AF18)</f>
        <v>144044.64285714287</v>
      </c>
      <c r="AJ18" s="33" t="str">
        <f>Master!$A$22</f>
        <v>Kategori Uji 18</v>
      </c>
      <c r="AK18" s="33">
        <f>SUMIFS(FebTable[Jumlah (Rp)],FebTable[Tipe],"Pengeluaran",FebTable[Kategori],AJ18)</f>
        <v>0</v>
      </c>
      <c r="AL18" s="33">
        <f>SUMIFS(JanTable[Jumlah (Rp)],JanTable[Tipe],"Pengeluaran",JanTable[Kategori],AJ18)</f>
        <v>0</v>
      </c>
      <c r="AM18" s="33">
        <f t="shared" si="0"/>
        <v>1.8E-5</v>
      </c>
      <c r="AN18" s="33"/>
      <c r="AO18" s="33"/>
    </row>
    <row r="19" spans="1:41" ht="24.75" customHeight="1" x14ac:dyDescent="0.25">
      <c r="A19" s="5"/>
      <c r="B19" s="3"/>
      <c r="C19" s="3"/>
      <c r="D19" s="3"/>
      <c r="E19" s="6"/>
      <c r="F19" s="4"/>
      <c r="K19" s="52" t="s">
        <v>80</v>
      </c>
      <c r="L19" s="53"/>
      <c r="M19" s="42">
        <f ca="1">M17-M18</f>
        <v>750000</v>
      </c>
      <c r="N19" s="33"/>
      <c r="O19" s="33"/>
      <c r="P19" s="33"/>
      <c r="Q19" s="33"/>
      <c r="R19" s="35" t="str">
        <f>IF($AO$1=0,"",INDEX($AJ$1:$AJ$23,$AO$1))</f>
        <v>Kategori Uji 03</v>
      </c>
      <c r="S19" s="37">
        <f>IF($AO$1=0,"",INDEX($AL$1:$AL$23,$AO$1))</f>
        <v>0</v>
      </c>
      <c r="T19" s="37">
        <f>IF($AO$1=0,"",INDEX($AK$1:$AK$23,$AO$1))</f>
        <v>250000</v>
      </c>
      <c r="U19" s="37">
        <f>IF($R19="","",T19-S19)</f>
        <v>250000</v>
      </c>
      <c r="V19" s="48" t="str">
        <f>IFERROR(U19/S19,"")</f>
        <v/>
      </c>
      <c r="AD19" s="33"/>
      <c r="AE19" s="33"/>
      <c r="AF19" s="33">
        <v>18</v>
      </c>
      <c r="AG19" s="33">
        <f t="shared" si="1"/>
        <v>46071</v>
      </c>
      <c r="AH19" s="33">
        <f ca="1">IF(OR(AF19&gt;$AD$4,AF19&gt;$AD$3),NA(),SUMIFS(FebTable[Jumlah (Rp)],FebTable[Tipe],"Pengeluaran",FebTable[Tanggal],"&lt;="&amp;AG19))</f>
        <v>250000</v>
      </c>
      <c r="AI19" s="33">
        <f>IF(AF19&gt;$AD$4,NA(),Rekap!$B$19/$AD$4*AF19)</f>
        <v>152517.85714285716</v>
      </c>
      <c r="AJ19" s="33" t="str">
        <f>Master!$A$23</f>
        <v>Kategori Uji 19</v>
      </c>
      <c r="AK19" s="33">
        <f>SUMIFS(FebTable[Jumlah (Rp)],FebTable[Tipe],"Pengeluaran",FebTable[Kategori],AJ19)</f>
        <v>0</v>
      </c>
      <c r="AL19" s="33">
        <f>SUMIFS(JanTable[Jumlah (Rp)],JanTable[Tipe],"Pengeluaran",JanTable[Kategori],AJ19)</f>
        <v>0</v>
      </c>
      <c r="AM19" s="33">
        <f t="shared" si="0"/>
        <v>1.9000000000000001E-5</v>
      </c>
      <c r="AN19" s="33"/>
      <c r="AO19" s="33"/>
    </row>
    <row r="20" spans="1:41" ht="24.75" customHeight="1" x14ac:dyDescent="0.25">
      <c r="A20" s="5"/>
      <c r="B20" s="3"/>
      <c r="C20" s="3"/>
      <c r="D20" s="3"/>
      <c r="E20" s="6"/>
      <c r="F20" s="4"/>
      <c r="K20" s="52" t="s">
        <v>81</v>
      </c>
      <c r="L20" s="53"/>
      <c r="M20" s="42">
        <f ca="1">D1+M17-M18</f>
        <v>2750000</v>
      </c>
      <c r="N20" s="33"/>
      <c r="O20" s="33"/>
      <c r="P20" s="33"/>
      <c r="Q20" s="33"/>
      <c r="R20" s="35" t="str">
        <f>IF($AO$2=0,"",INDEX($AJ$1:$AJ$23,$AO$2))</f>
        <v>Kategori Uji 24</v>
      </c>
      <c r="S20" s="37">
        <f>IF($AO$2=0,"",INDEX($AL$1:$AL$23,$AO$2))</f>
        <v>0</v>
      </c>
      <c r="T20" s="37">
        <f>IF($AO$2=0,"",INDEX($AK$1:$AK$23,$AO$2))</f>
        <v>0</v>
      </c>
      <c r="U20" s="37">
        <f>IF($R20="","",T20-S20)</f>
        <v>0</v>
      </c>
      <c r="V20" s="48" t="str">
        <f>IFERROR(U20/S20,"")</f>
        <v/>
      </c>
      <c r="AD20" s="33"/>
      <c r="AE20" s="33"/>
      <c r="AF20" s="33">
        <v>19</v>
      </c>
      <c r="AG20" s="33">
        <f t="shared" si="1"/>
        <v>46072</v>
      </c>
      <c r="AH20" s="33">
        <f ca="1">IF(OR(AF20&gt;$AD$4,AF20&gt;$AD$3),NA(),SUMIFS(FebTable[Jumlah (Rp)],FebTable[Tipe],"Pengeluaran",FebTable[Tanggal],"&lt;="&amp;AG20))</f>
        <v>250000</v>
      </c>
      <c r="AI20" s="33">
        <f>IF(AF20&gt;$AD$4,NA(),Rekap!$B$19/$AD$4*AF20)</f>
        <v>160991.07142857145</v>
      </c>
      <c r="AJ20" s="33" t="str">
        <f>Master!$A$24</f>
        <v>Kategori Uji 20</v>
      </c>
      <c r="AK20" s="33">
        <f>SUMIFS(FebTable[Jumlah (Rp)],FebTable[Tipe],"Pengeluaran",FebTable[Kategori],AJ20)</f>
        <v>0</v>
      </c>
      <c r="AL20" s="33">
        <f>SUMIFS(JanTable[Jumlah (Rp)],JanTable[Tipe],"Pengeluaran",JanTable[Kategori],AJ20)</f>
        <v>0</v>
      </c>
      <c r="AM20" s="33">
        <f t="shared" si="0"/>
        <v>2.0000000000000002E-5</v>
      </c>
      <c r="AN20" s="33"/>
      <c r="AO20" s="33"/>
    </row>
    <row r="21" spans="1:41" ht="24.75" customHeight="1" x14ac:dyDescent="0.25">
      <c r="A21" s="5"/>
      <c r="B21" s="3"/>
      <c r="C21" s="3"/>
      <c r="D21" s="3"/>
      <c r="E21" s="6"/>
      <c r="F21" s="4"/>
      <c r="K21" s="46" t="s">
        <v>82</v>
      </c>
      <c r="L21" s="33"/>
      <c r="M21" s="33"/>
      <c r="N21" s="33"/>
      <c r="O21" s="33"/>
      <c r="P21" s="33"/>
      <c r="Q21" s="33"/>
      <c r="R21" s="35" t="str">
        <f>IF($AO$3=0,"",INDEX($AJ$1:$AJ$23,$AO$3))</f>
        <v>Kategori Uji 23</v>
      </c>
      <c r="S21" s="37">
        <f>IF($AO$3=0,"",INDEX($AL$1:$AL$23,$AO$3))</f>
        <v>0</v>
      </c>
      <c r="T21" s="37">
        <f>IF($AO$3=0,"",INDEX($AK$1:$AK$23,$AO$3))</f>
        <v>0</v>
      </c>
      <c r="U21" s="37">
        <f>IF($R21="","",T21-S21)</f>
        <v>0</v>
      </c>
      <c r="V21" s="48" t="str">
        <f>IFERROR(U21/S21,"")</f>
        <v/>
      </c>
      <c r="AD21" s="33"/>
      <c r="AE21" s="33"/>
      <c r="AF21" s="33">
        <v>20</v>
      </c>
      <c r="AG21" s="33">
        <f t="shared" si="1"/>
        <v>46073</v>
      </c>
      <c r="AH21" s="33">
        <f ca="1">IF(OR(AF21&gt;$AD$4,AF21&gt;$AD$3),NA(),SUMIFS(FebTable[Jumlah (Rp)],FebTable[Tipe],"Pengeluaran",FebTable[Tanggal],"&lt;="&amp;AG21))</f>
        <v>250000</v>
      </c>
      <c r="AI21" s="33">
        <f>IF(AF21&gt;$AD$4,NA(),Rekap!$B$19/$AD$4*AF21)</f>
        <v>169464.28571428574</v>
      </c>
      <c r="AJ21" s="33" t="str">
        <f>Master!$A$25</f>
        <v>Kategori Uji 21</v>
      </c>
      <c r="AK21" s="33">
        <f>SUMIFS(FebTable[Jumlah (Rp)],FebTable[Tipe],"Pengeluaran",FebTable[Kategori],AJ21)</f>
        <v>0</v>
      </c>
      <c r="AL21" s="33">
        <f>SUMIFS(JanTable[Jumlah (Rp)],JanTable[Tipe],"Pengeluaran",JanTable[Kategori],AJ21)</f>
        <v>0</v>
      </c>
      <c r="AM21" s="33">
        <f t="shared" si="0"/>
        <v>2.0999999999999999E-5</v>
      </c>
      <c r="AN21" s="33"/>
      <c r="AO21" s="33"/>
    </row>
    <row r="22" spans="1:41" ht="24.75" customHeight="1" x14ac:dyDescent="0.25">
      <c r="A22" s="5"/>
      <c r="B22" s="3"/>
      <c r="C22" s="3"/>
      <c r="D22" s="3"/>
      <c r="E22" s="6"/>
      <c r="F22" s="4"/>
      <c r="K22" s="33"/>
      <c r="L22" s="33"/>
      <c r="M22" s="33"/>
      <c r="N22" s="33"/>
      <c r="O22" s="33"/>
      <c r="P22" s="33"/>
      <c r="Q22" s="33"/>
      <c r="R22" s="35" t="str">
        <f>IF($AO$4=0,"",INDEX($AJ$1:$AJ$23,$AO$4))</f>
        <v>Kategori Uji 21</v>
      </c>
      <c r="S22" s="37">
        <f>IF($AO$4=0,"",INDEX($AL$1:$AL$23,$AO$4))</f>
        <v>0</v>
      </c>
      <c r="T22" s="37">
        <f>IF($AO$4=0,"",INDEX($AK$1:$AK$23,$AO$4))</f>
        <v>0</v>
      </c>
      <c r="U22" s="37">
        <f>IF($R22="","",T22-S22)</f>
        <v>0</v>
      </c>
      <c r="V22" s="48" t="str">
        <f>IFERROR(U22/S22,"")</f>
        <v/>
      </c>
      <c r="AD22" s="33"/>
      <c r="AE22" s="33"/>
      <c r="AF22" s="33">
        <v>21</v>
      </c>
      <c r="AG22" s="33">
        <f t="shared" si="1"/>
        <v>46074</v>
      </c>
      <c r="AH22" s="33">
        <f ca="1">IF(OR(AF22&gt;$AD$4,AF22&gt;$AD$3),NA(),SUMIFS(FebTable[Jumlah (Rp)],FebTable[Tipe],"Pengeluaran",FebTable[Tanggal],"&lt;="&amp;AG22))</f>
        <v>250000</v>
      </c>
      <c r="AI22" s="33">
        <f>IF(AF22&gt;$AD$4,NA(),Rekap!$B$19/$AD$4*AF22)</f>
        <v>177937.5</v>
      </c>
      <c r="AJ22" s="33" t="str">
        <f>Master!$A$27</f>
        <v>Kategori Uji 23</v>
      </c>
      <c r="AK22" s="33">
        <f>SUMIFS(FebTable[Jumlah (Rp)],FebTable[Tipe],"Pengeluaran",FebTable[Kategori],AJ22)</f>
        <v>0</v>
      </c>
      <c r="AL22" s="33">
        <f>SUMIFS(JanTable[Jumlah (Rp)],JanTable[Tipe],"Pengeluaran",JanTable[Kategori],AJ22)</f>
        <v>0</v>
      </c>
      <c r="AM22" s="33">
        <f t="shared" si="0"/>
        <v>2.1999999999999999E-5</v>
      </c>
      <c r="AN22" s="33"/>
      <c r="AO22" s="33"/>
    </row>
    <row r="23" spans="1:41" ht="24.75" customHeight="1" x14ac:dyDescent="0.25">
      <c r="A23" s="5"/>
      <c r="B23" s="3"/>
      <c r="C23" s="3"/>
      <c r="D23" s="3"/>
      <c r="E23" s="6"/>
      <c r="F23" s="4"/>
      <c r="K23" s="32" t="s">
        <v>83</v>
      </c>
      <c r="L23" s="33"/>
      <c r="M23" s="33"/>
      <c r="N23" s="33"/>
      <c r="O23" s="33"/>
      <c r="P23" s="33"/>
      <c r="Q23" s="33"/>
      <c r="R23" s="35" t="str">
        <f>IF($AO$5=0,"",INDEX($AJ$1:$AJ$23,$AO$5))</f>
        <v>Kategori Uji 20</v>
      </c>
      <c r="S23" s="37">
        <f>IF($AO$5=0,"",INDEX($AL$1:$AL$23,$AO$5))</f>
        <v>0</v>
      </c>
      <c r="T23" s="37">
        <f>IF($AO$5=0,"",INDEX($AK$1:$AK$23,$AO$5))</f>
        <v>0</v>
      </c>
      <c r="U23" s="37">
        <f>IF($R23="","",T23-S23)</f>
        <v>0</v>
      </c>
      <c r="V23" s="48" t="str">
        <f>IFERROR(U23/S23,"")</f>
        <v/>
      </c>
      <c r="AD23" s="33"/>
      <c r="AE23" s="33"/>
      <c r="AF23" s="33">
        <v>22</v>
      </c>
      <c r="AG23" s="33">
        <f t="shared" si="1"/>
        <v>46075</v>
      </c>
      <c r="AH23" s="33">
        <f ca="1">IF(OR(AF23&gt;$AD$4,AF23&gt;$AD$3),NA(),SUMIFS(FebTable[Jumlah (Rp)],FebTable[Tipe],"Pengeluaran",FebTable[Tanggal],"&lt;="&amp;AG23))</f>
        <v>250000</v>
      </c>
      <c r="AI23" s="33">
        <f>IF(AF23&gt;$AD$4,NA(),Rekap!$B$19/$AD$4*AF23)</f>
        <v>186410.71428571429</v>
      </c>
      <c r="AJ23" s="33" t="str">
        <f>Master!$A$28</f>
        <v>Kategori Uji 24</v>
      </c>
      <c r="AK23" s="33">
        <f>SUMIFS(FebTable[Jumlah (Rp)],FebTable[Tipe],"Pengeluaran",FebTable[Kategori],AJ23)</f>
        <v>0</v>
      </c>
      <c r="AL23" s="33">
        <f>SUMIFS(JanTable[Jumlah (Rp)],JanTable[Tipe],"Pengeluaran",JanTable[Kategori],AJ23)</f>
        <v>0</v>
      </c>
      <c r="AM23" s="33">
        <f t="shared" si="0"/>
        <v>2.3E-5</v>
      </c>
      <c r="AN23" s="33"/>
      <c r="AO23" s="33"/>
    </row>
    <row r="24" spans="1:41" ht="24.75" customHeight="1" x14ac:dyDescent="0.25">
      <c r="A24" s="5"/>
      <c r="B24" s="3"/>
      <c r="C24" s="3"/>
      <c r="D24" s="3"/>
      <c r="E24" s="6"/>
      <c r="F24" s="4"/>
      <c r="K24" s="56" t="s">
        <v>84</v>
      </c>
      <c r="L24" s="53"/>
      <c r="M24" s="34" t="s">
        <v>70</v>
      </c>
      <c r="N24" s="33"/>
      <c r="O24" s="33"/>
      <c r="P24" s="33"/>
      <c r="Q24" s="33"/>
      <c r="R24" s="33"/>
      <c r="S24" s="33"/>
      <c r="T24" s="33"/>
      <c r="U24" s="33"/>
      <c r="V24" s="33"/>
      <c r="AD24" s="33"/>
      <c r="AE24" s="33"/>
      <c r="AF24" s="33">
        <v>23</v>
      </c>
      <c r="AG24" s="33">
        <f t="shared" si="1"/>
        <v>46076</v>
      </c>
      <c r="AH24" s="33">
        <f ca="1">IF(OR(AF24&gt;$AD$4,AF24&gt;$AD$3),NA(),SUMIFS(FebTable[Jumlah (Rp)],FebTable[Tipe],"Pengeluaran",FebTable[Tanggal],"&lt;="&amp;AG24))</f>
        <v>250000</v>
      </c>
      <c r="AI24" s="33">
        <f>IF(AF24&gt;$AD$4,NA(),Rekap!$B$19/$AD$4*AF24)</f>
        <v>194883.92857142858</v>
      </c>
      <c r="AJ24" s="33"/>
      <c r="AK24" s="33"/>
      <c r="AL24" s="33"/>
      <c r="AM24" s="33"/>
      <c r="AN24" s="33"/>
      <c r="AO24" s="33"/>
    </row>
    <row r="25" spans="1:41" ht="24.75" customHeight="1" x14ac:dyDescent="0.25">
      <c r="A25" s="5"/>
      <c r="B25" s="3"/>
      <c r="C25" s="3"/>
      <c r="D25" s="3"/>
      <c r="E25" s="6"/>
      <c r="F25" s="4"/>
      <c r="K25" s="54" t="s">
        <v>85</v>
      </c>
      <c r="L25" s="53"/>
      <c r="M25" s="47">
        <f ca="1">AD3</f>
        <v>28</v>
      </c>
      <c r="N25" s="33"/>
      <c r="O25" s="33"/>
      <c r="P25" s="33"/>
      <c r="Q25" s="33"/>
      <c r="R25" s="32" t="s">
        <v>86</v>
      </c>
      <c r="S25" s="33"/>
      <c r="T25" s="33"/>
      <c r="U25" s="33"/>
      <c r="V25" s="33"/>
      <c r="AD25" s="33"/>
      <c r="AE25" s="33"/>
      <c r="AF25" s="33">
        <v>24</v>
      </c>
      <c r="AG25" s="33">
        <f t="shared" si="1"/>
        <v>46077</v>
      </c>
      <c r="AH25" s="33">
        <f ca="1">IF(OR(AF25&gt;$AD$4,AF25&gt;$AD$3),NA(),SUMIFS(FebTable[Jumlah (Rp)],FebTable[Tipe],"Pengeluaran",FebTable[Tanggal],"&lt;="&amp;AG25))</f>
        <v>250000</v>
      </c>
      <c r="AI25" s="33">
        <f>IF(AF25&gt;$AD$4,NA(),Rekap!$B$19/$AD$4*AF25)</f>
        <v>203357.14285714287</v>
      </c>
      <c r="AJ25" s="33"/>
      <c r="AK25" s="33"/>
      <c r="AL25" s="33"/>
      <c r="AM25" s="33"/>
      <c r="AN25" s="33"/>
      <c r="AO25" s="33"/>
    </row>
    <row r="26" spans="1:41" ht="24.75" customHeight="1" x14ac:dyDescent="0.25">
      <c r="A26" s="5"/>
      <c r="B26" s="3"/>
      <c r="C26" s="3"/>
      <c r="D26" s="3"/>
      <c r="E26" s="6"/>
      <c r="F26" s="4"/>
      <c r="K26" s="54" t="s">
        <v>87</v>
      </c>
      <c r="L26" s="53"/>
      <c r="M26" s="47">
        <f>AD4</f>
        <v>28</v>
      </c>
      <c r="N26" s="33"/>
      <c r="O26" s="33"/>
      <c r="P26" s="33"/>
      <c r="Q26" s="33"/>
      <c r="R26" s="33"/>
      <c r="S26" s="33"/>
      <c r="T26" s="33"/>
      <c r="U26" s="33"/>
      <c r="V26" s="33"/>
      <c r="AD26" s="33"/>
      <c r="AE26" s="33"/>
      <c r="AF26" s="33">
        <v>25</v>
      </c>
      <c r="AG26" s="33">
        <f t="shared" si="1"/>
        <v>46078</v>
      </c>
      <c r="AH26" s="33">
        <f ca="1">IF(OR(AF26&gt;$AD$4,AF26&gt;$AD$3),NA(),SUMIFS(FebTable[Jumlah (Rp)],FebTable[Tipe],"Pengeluaran",FebTable[Tanggal],"&lt;="&amp;AG26))</f>
        <v>250000</v>
      </c>
      <c r="AI26" s="33">
        <f>IF(AF26&gt;$AD$4,NA(),Rekap!$B$19/$AD$4*AF26)</f>
        <v>211830.35714285716</v>
      </c>
      <c r="AJ26" s="33"/>
      <c r="AK26" s="33"/>
      <c r="AL26" s="33"/>
      <c r="AM26" s="33"/>
      <c r="AN26" s="33"/>
      <c r="AO26" s="33"/>
    </row>
    <row r="27" spans="1:41" ht="24.75" customHeight="1" x14ac:dyDescent="0.25">
      <c r="A27" s="5"/>
      <c r="B27" s="3"/>
      <c r="C27" s="3"/>
      <c r="D27" s="3"/>
      <c r="E27" s="6"/>
      <c r="F27" s="4"/>
      <c r="K27" s="54" t="s">
        <v>88</v>
      </c>
      <c r="L27" s="53"/>
      <c r="M27" s="37">
        <f>D3</f>
        <v>250000</v>
      </c>
      <c r="N27" s="33"/>
      <c r="O27" s="33"/>
      <c r="P27" s="33"/>
      <c r="Q27" s="33"/>
      <c r="R27" s="33"/>
      <c r="S27" s="33"/>
      <c r="T27" s="33"/>
      <c r="U27" s="33"/>
      <c r="V27" s="33"/>
      <c r="AD27" s="33"/>
      <c r="AE27" s="33"/>
      <c r="AF27" s="33">
        <v>26</v>
      </c>
      <c r="AG27" s="33">
        <f t="shared" si="1"/>
        <v>46079</v>
      </c>
      <c r="AH27" s="33">
        <f ca="1">IF(OR(AF27&gt;$AD$4,AF27&gt;$AD$3),NA(),SUMIFS(FebTable[Jumlah (Rp)],FebTable[Tipe],"Pengeluaran",FebTable[Tanggal],"&lt;="&amp;AG27))</f>
        <v>250000</v>
      </c>
      <c r="AI27" s="33">
        <f>IF(AF27&gt;$AD$4,NA(),Rekap!$B$19/$AD$4*AF27)</f>
        <v>220303.57142857145</v>
      </c>
      <c r="AJ27" s="33"/>
      <c r="AK27" s="33"/>
      <c r="AL27" s="33"/>
      <c r="AM27" s="33"/>
      <c r="AN27" s="33"/>
      <c r="AO27" s="33"/>
    </row>
    <row r="28" spans="1:41" ht="24.75" customHeight="1" x14ac:dyDescent="0.25">
      <c r="A28" s="5"/>
      <c r="B28" s="3"/>
      <c r="C28" s="3"/>
      <c r="D28" s="3"/>
      <c r="E28" s="6"/>
      <c r="F28" s="4"/>
      <c r="K28" s="54" t="s">
        <v>89</v>
      </c>
      <c r="L28" s="53"/>
      <c r="M28" s="37">
        <f ca="1">IFERROR(M27/M25,0)</f>
        <v>8928.5714285714294</v>
      </c>
      <c r="N28" s="33"/>
      <c r="O28" s="33"/>
      <c r="P28" s="33"/>
      <c r="Q28" s="33"/>
      <c r="R28" s="33"/>
      <c r="S28" s="33"/>
      <c r="T28" s="33"/>
      <c r="U28" s="33"/>
      <c r="V28" s="33"/>
      <c r="AD28" s="33"/>
      <c r="AE28" s="33"/>
      <c r="AF28" s="33">
        <v>27</v>
      </c>
      <c r="AG28" s="33">
        <f t="shared" si="1"/>
        <v>46080</v>
      </c>
      <c r="AH28" s="33">
        <f ca="1">IF(OR(AF28&gt;$AD$4,AF28&gt;$AD$3),NA(),SUMIFS(FebTable[Jumlah (Rp)],FebTable[Tipe],"Pengeluaran",FebTable[Tanggal],"&lt;="&amp;AG28))</f>
        <v>250000</v>
      </c>
      <c r="AI28" s="33">
        <f>IF(AF28&gt;$AD$4,NA(),Rekap!$B$19/$AD$4*AF28)</f>
        <v>228776.78571428574</v>
      </c>
      <c r="AJ28" s="33"/>
      <c r="AK28" s="33"/>
      <c r="AL28" s="33"/>
      <c r="AM28" s="33"/>
      <c r="AN28" s="33"/>
      <c r="AO28" s="33"/>
    </row>
    <row r="29" spans="1:41" ht="24.75" customHeight="1" x14ac:dyDescent="0.25">
      <c r="A29" s="5"/>
      <c r="B29" s="3"/>
      <c r="C29" s="3"/>
      <c r="D29" s="3"/>
      <c r="E29" s="6"/>
      <c r="F29" s="4"/>
      <c r="K29" s="52" t="s">
        <v>90</v>
      </c>
      <c r="L29" s="53"/>
      <c r="M29" s="42">
        <f ca="1">M28*M26</f>
        <v>250000.00000000003</v>
      </c>
      <c r="N29" s="33"/>
      <c r="O29" s="33"/>
      <c r="P29" s="33"/>
      <c r="Q29" s="33"/>
      <c r="R29" s="33"/>
      <c r="S29" s="33"/>
      <c r="T29" s="33"/>
      <c r="U29" s="33"/>
      <c r="V29" s="33"/>
      <c r="AD29" s="33"/>
      <c r="AE29" s="33"/>
      <c r="AF29" s="33">
        <v>28</v>
      </c>
      <c r="AG29" s="33">
        <f t="shared" si="1"/>
        <v>46081</v>
      </c>
      <c r="AH29" s="33">
        <f ca="1">IF(OR(AF29&gt;$AD$4,AF29&gt;$AD$3),NA(),SUMIFS(FebTable[Jumlah (Rp)],FebTable[Tipe],"Pengeluaran",FebTable[Tanggal],"&lt;="&amp;AG29))</f>
        <v>250000</v>
      </c>
      <c r="AI29" s="33">
        <f>IF(AF29&gt;$AD$4,NA(),Rekap!$B$19/$AD$4*AF29)</f>
        <v>237250</v>
      </c>
      <c r="AJ29" s="33"/>
      <c r="AK29" s="33"/>
      <c r="AL29" s="33"/>
      <c r="AM29" s="33"/>
      <c r="AN29" s="33"/>
      <c r="AO29" s="33"/>
    </row>
    <row r="30" spans="1:41" ht="24.75" customHeight="1" x14ac:dyDescent="0.25">
      <c r="A30" s="5"/>
      <c r="B30" s="3"/>
      <c r="C30" s="3"/>
      <c r="D30" s="3"/>
      <c r="E30" s="6"/>
      <c r="F30" s="4"/>
      <c r="K30" s="54" t="s">
        <v>91</v>
      </c>
      <c r="L30" s="53"/>
      <c r="M30" s="37">
        <f>Rekap!$B$19</f>
        <v>237250</v>
      </c>
      <c r="N30" s="33"/>
      <c r="O30" s="33"/>
      <c r="P30" s="33"/>
      <c r="Q30" s="33"/>
      <c r="R30" s="33"/>
      <c r="S30" s="33"/>
      <c r="T30" s="33"/>
      <c r="U30" s="33"/>
      <c r="V30" s="33"/>
      <c r="AD30" s="33"/>
      <c r="AE30" s="33"/>
      <c r="AF30" s="33">
        <v>29</v>
      </c>
      <c r="AG30" s="33">
        <f t="shared" si="1"/>
        <v>46082</v>
      </c>
      <c r="AH30" s="33" t="e">
        <f ca="1">IF(OR(AF30&gt;$AD$4,AF30&gt;$AD$3),NA(),SUMIFS(FebTable[Jumlah (Rp)],FebTable[Tipe],"Pengeluaran",FebTable[Tanggal],"&lt;="&amp;AG30))</f>
        <v>#N/A</v>
      </c>
      <c r="AI30" s="33" t="e">
        <f>IF(AF30&gt;$AD$4,NA(),Rekap!$B$19/$AD$4*AF30)</f>
        <v>#N/A</v>
      </c>
      <c r="AJ30" s="33"/>
      <c r="AK30" s="33"/>
      <c r="AL30" s="33"/>
      <c r="AM30" s="33"/>
      <c r="AN30" s="33"/>
      <c r="AO30" s="33"/>
    </row>
    <row r="31" spans="1:41" ht="24.75" customHeight="1" x14ac:dyDescent="0.25">
      <c r="A31" s="5"/>
      <c r="B31" s="3"/>
      <c r="C31" s="3"/>
      <c r="D31" s="3"/>
      <c r="E31" s="6"/>
      <c r="F31" s="4"/>
      <c r="K31" s="54" t="s">
        <v>93</v>
      </c>
      <c r="L31" s="53"/>
      <c r="M31" s="37">
        <f>SUM(Master!$C$5:$C$81)</f>
        <v>30000000</v>
      </c>
      <c r="N31" s="33"/>
      <c r="O31" s="33"/>
      <c r="P31" s="33"/>
      <c r="Q31" s="33"/>
      <c r="R31" s="33"/>
      <c r="S31" s="33"/>
      <c r="T31" s="33"/>
      <c r="U31" s="33"/>
      <c r="V31" s="33"/>
      <c r="AD31" s="33"/>
      <c r="AE31" s="33"/>
      <c r="AF31" s="33">
        <v>30</v>
      </c>
      <c r="AG31" s="33">
        <f t="shared" si="1"/>
        <v>46083</v>
      </c>
      <c r="AH31" s="33" t="e">
        <f ca="1">IF(OR(AF31&gt;$AD$4,AF31&gt;$AD$3),NA(),SUMIFS(FebTable[Jumlah (Rp)],FebTable[Tipe],"Pengeluaran",FebTable[Tanggal],"&lt;="&amp;AG31))</f>
        <v>#N/A</v>
      </c>
      <c r="AI31" s="33" t="e">
        <f>IF(AF31&gt;$AD$4,NA(),Rekap!$B$19/$AD$4*AF31)</f>
        <v>#N/A</v>
      </c>
      <c r="AJ31" s="33"/>
      <c r="AK31" s="33"/>
      <c r="AL31" s="33"/>
      <c r="AM31" s="33"/>
      <c r="AN31" s="33"/>
      <c r="AO31" s="33"/>
    </row>
    <row r="32" spans="1:41" ht="24.75" customHeight="1" x14ac:dyDescent="0.25">
      <c r="A32" s="5"/>
      <c r="B32" s="3"/>
      <c r="C32" s="3"/>
      <c r="D32" s="3"/>
      <c r="E32" s="6"/>
      <c r="F32" s="4"/>
      <c r="K32" s="52" t="s">
        <v>58</v>
      </c>
      <c r="L32" s="53"/>
      <c r="M32" s="40" t="str">
        <f ca="1">IF(M25=0,"belum mulai",IF(M29&gt;M30,"di atas kebiasaan","di bawah kebiasaan"))</f>
        <v>di atas kebiasaan</v>
      </c>
      <c r="N32" s="33"/>
      <c r="O32" s="33"/>
      <c r="P32" s="33"/>
      <c r="Q32" s="33"/>
      <c r="R32" s="33"/>
      <c r="S32" s="33"/>
      <c r="T32" s="33"/>
      <c r="U32" s="33"/>
      <c r="V32" s="33"/>
      <c r="AD32" s="33"/>
      <c r="AE32" s="33"/>
      <c r="AF32" s="33">
        <v>31</v>
      </c>
      <c r="AG32" s="33">
        <f t="shared" si="1"/>
        <v>46084</v>
      </c>
      <c r="AH32" s="33" t="e">
        <f ca="1">IF(OR(AF32&gt;$AD$4,AF32&gt;$AD$3),NA(),SUMIFS(FebTable[Jumlah (Rp)],FebTable[Tipe],"Pengeluaran",FebTable[Tanggal],"&lt;="&amp;AG32))</f>
        <v>#N/A</v>
      </c>
      <c r="AI32" s="33" t="e">
        <f>IF(AF32&gt;$AD$4,NA(),Rekap!$B$19/$AD$4*AF32)</f>
        <v>#N/A</v>
      </c>
      <c r="AJ32" s="33"/>
      <c r="AK32" s="33"/>
      <c r="AL32" s="33"/>
      <c r="AM32" s="33"/>
      <c r="AN32" s="33"/>
      <c r="AO32" s="33"/>
    </row>
    <row r="33" spans="1:41" ht="24.75" customHeight="1" x14ac:dyDescent="0.25">
      <c r="A33" s="5"/>
      <c r="B33" s="3"/>
      <c r="C33" s="3"/>
      <c r="D33" s="3"/>
      <c r="E33" s="6"/>
      <c r="F33" s="4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</row>
    <row r="34" spans="1:41" ht="24.75" customHeight="1" x14ac:dyDescent="0.25">
      <c r="A34" s="5"/>
      <c r="B34" s="3"/>
      <c r="C34" s="3"/>
      <c r="D34" s="3"/>
      <c r="E34" s="6"/>
      <c r="F34" s="4"/>
      <c r="K34" s="32" t="s">
        <v>94</v>
      </c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</row>
    <row r="35" spans="1:41" ht="24.75" customHeight="1" x14ac:dyDescent="0.25">
      <c r="A35" s="5"/>
      <c r="B35" s="3"/>
      <c r="C35" s="3"/>
      <c r="D35" s="3"/>
      <c r="E35" s="6"/>
      <c r="F35" s="4"/>
      <c r="K35" s="34" t="s">
        <v>43</v>
      </c>
      <c r="L35" s="34" t="s">
        <v>37</v>
      </c>
      <c r="M35" s="34" t="s">
        <v>44</v>
      </c>
      <c r="N35" s="33"/>
      <c r="O35" s="33"/>
      <c r="P35" s="33"/>
      <c r="Q35" s="33"/>
      <c r="R35" s="33"/>
      <c r="S35" s="33"/>
      <c r="T35" s="33"/>
      <c r="U35" s="33"/>
      <c r="V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</row>
    <row r="36" spans="1:41" ht="24.75" customHeight="1" x14ac:dyDescent="0.25">
      <c r="A36" s="5"/>
      <c r="B36" s="3"/>
      <c r="C36" s="3"/>
      <c r="D36" s="3"/>
      <c r="E36" s="6"/>
      <c r="F36" s="4"/>
      <c r="K36" s="35" t="str">
        <f>Master!$G$5</f>
        <v>Tunai Uji</v>
      </c>
      <c r="L36" s="37">
        <f>SUMIFS(FebTable[Jumlah (Rp)],FebTable[Tipe],"Pengeluaran",FebTable[Pembayaran],K36)</f>
        <v>0</v>
      </c>
      <c r="M36" s="48">
        <f t="shared" ref="M36:M44" si="2">IFERROR(L36/$D$3,0)</f>
        <v>0</v>
      </c>
      <c r="N36" s="33"/>
      <c r="O36" s="33"/>
      <c r="P36" s="33"/>
      <c r="Q36" s="33"/>
      <c r="R36" s="33"/>
      <c r="S36" s="33"/>
      <c r="T36" s="33"/>
      <c r="U36" s="33"/>
      <c r="V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</row>
    <row r="37" spans="1:41" ht="24.75" customHeight="1" x14ac:dyDescent="0.25">
      <c r="A37" s="5"/>
      <c r="B37" s="3"/>
      <c r="C37" s="3"/>
      <c r="D37" s="3"/>
      <c r="E37" s="6"/>
      <c r="F37" s="4"/>
      <c r="K37" s="35" t="str">
        <f>Master!$G$6</f>
        <v>Bank Uji</v>
      </c>
      <c r="L37" s="37">
        <f>SUMIFS(FebTable[Jumlah (Rp)],FebTable[Tipe],"Pengeluaran",FebTable[Pembayaran],K37)</f>
        <v>250000</v>
      </c>
      <c r="M37" s="48">
        <f t="shared" si="2"/>
        <v>1</v>
      </c>
      <c r="N37" s="33"/>
      <c r="O37" s="33"/>
      <c r="P37" s="33"/>
      <c r="Q37" s="33"/>
      <c r="R37" s="33"/>
      <c r="S37" s="33"/>
      <c r="T37" s="33"/>
      <c r="U37" s="33"/>
      <c r="V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</row>
    <row r="38" spans="1:41" ht="24.75" customHeight="1" x14ac:dyDescent="0.25">
      <c r="A38" s="5"/>
      <c r="B38" s="3"/>
      <c r="C38" s="3"/>
      <c r="D38" s="3"/>
      <c r="E38" s="6"/>
      <c r="F38" s="4"/>
      <c r="K38" s="35" t="str">
        <f>Master!$G$7</f>
        <v>Dompet Uji</v>
      </c>
      <c r="L38" s="37">
        <f>SUMIFS(FebTable[Jumlah (Rp)],FebTable[Tipe],"Pengeluaran",FebTable[Pembayaran],K38)</f>
        <v>0</v>
      </c>
      <c r="M38" s="48">
        <f t="shared" si="2"/>
        <v>0</v>
      </c>
      <c r="N38" s="33"/>
      <c r="O38" s="33"/>
      <c r="P38" s="33"/>
      <c r="Q38" s="33"/>
      <c r="R38" s="33"/>
      <c r="S38" s="33"/>
      <c r="T38" s="33"/>
      <c r="U38" s="33"/>
      <c r="V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</row>
    <row r="39" spans="1:41" ht="24.75" customHeight="1" x14ac:dyDescent="0.25">
      <c r="A39" s="5"/>
      <c r="B39" s="3"/>
      <c r="C39" s="3"/>
      <c r="D39" s="3"/>
      <c r="E39" s="6"/>
      <c r="F39" s="4"/>
      <c r="K39" s="35" t="str">
        <f>Master!$G$8</f>
        <v>Kartu Uji</v>
      </c>
      <c r="L39" s="37">
        <f>SUMIFS(FebTable[Jumlah (Rp)],FebTable[Tipe],"Pengeluaran",FebTable[Pembayaran],K39)</f>
        <v>0</v>
      </c>
      <c r="M39" s="48">
        <f t="shared" si="2"/>
        <v>0</v>
      </c>
      <c r="N39" s="33"/>
      <c r="O39" s="33"/>
      <c r="P39" s="33"/>
      <c r="Q39" s="33"/>
      <c r="R39" s="33"/>
      <c r="S39" s="33"/>
      <c r="T39" s="33"/>
      <c r="U39" s="33"/>
      <c r="V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</row>
    <row r="40" spans="1:41" ht="24.75" customHeight="1" x14ac:dyDescent="0.25">
      <c r="A40" s="5"/>
      <c r="B40" s="3"/>
      <c r="C40" s="3"/>
      <c r="D40" s="3"/>
      <c r="E40" s="6"/>
      <c r="F40" s="4"/>
      <c r="K40" s="35" t="str">
        <f>Master!$G$9</f>
        <v>Transfer Uji</v>
      </c>
      <c r="L40" s="37">
        <f>SUMIFS(FebTable[Jumlah (Rp)],FebTable[Tipe],"Pengeluaran",FebTable[Pembayaran],K40)</f>
        <v>0</v>
      </c>
      <c r="M40" s="48">
        <f t="shared" si="2"/>
        <v>0</v>
      </c>
      <c r="N40" s="33"/>
      <c r="O40" s="33"/>
      <c r="P40" s="33"/>
      <c r="Q40" s="33"/>
      <c r="R40" s="33"/>
      <c r="S40" s="33"/>
      <c r="T40" s="33"/>
      <c r="U40" s="33"/>
      <c r="V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</row>
    <row r="41" spans="1:41" ht="24.75" customHeight="1" x14ac:dyDescent="0.25">
      <c r="A41" s="5"/>
      <c r="B41" s="3"/>
      <c r="C41" s="3"/>
      <c r="D41" s="3"/>
      <c r="E41" s="6"/>
      <c r="F41" s="4"/>
      <c r="K41" s="35" t="str">
        <f>Master!$G$10</f>
        <v>Voucher Uji</v>
      </c>
      <c r="L41" s="37">
        <f>SUMIFS(FebTable[Jumlah (Rp)],FebTable[Tipe],"Pengeluaran",FebTable[Pembayaran],K41)</f>
        <v>0</v>
      </c>
      <c r="M41" s="48">
        <f t="shared" si="2"/>
        <v>0</v>
      </c>
      <c r="N41" s="33"/>
      <c r="O41" s="33"/>
      <c r="P41" s="33"/>
      <c r="Q41" s="33"/>
      <c r="R41" s="33"/>
      <c r="S41" s="33"/>
      <c r="T41" s="33"/>
      <c r="U41" s="33"/>
      <c r="V41" s="33"/>
    </row>
    <row r="42" spans="1:41" ht="24.75" customHeight="1" x14ac:dyDescent="0.25">
      <c r="A42" s="5"/>
      <c r="B42" s="3"/>
      <c r="C42" s="3"/>
      <c r="D42" s="3"/>
      <c r="E42" s="6"/>
      <c r="F42" s="4"/>
      <c r="K42" s="35" t="str">
        <f>Master!$G$11</f>
        <v>Cicilan Uji</v>
      </c>
      <c r="L42" s="37">
        <f>SUMIFS(FebTable[Jumlah (Rp)],FebTable[Tipe],"Pengeluaran",FebTable[Pembayaran],K42)</f>
        <v>0</v>
      </c>
      <c r="M42" s="48">
        <f t="shared" si="2"/>
        <v>0</v>
      </c>
      <c r="N42" s="33"/>
      <c r="O42" s="33"/>
      <c r="P42" s="33"/>
      <c r="Q42" s="33"/>
      <c r="R42" s="33"/>
      <c r="S42" s="33"/>
      <c r="T42" s="33"/>
      <c r="U42" s="33"/>
      <c r="V42" s="33"/>
    </row>
    <row r="43" spans="1:41" ht="24.75" customHeight="1" x14ac:dyDescent="0.25">
      <c r="A43" s="5"/>
      <c r="B43" s="3"/>
      <c r="C43" s="3"/>
      <c r="D43" s="3"/>
      <c r="E43" s="6"/>
      <c r="F43" s="4"/>
      <c r="K43" s="35" t="str">
        <f>Master!$G$12</f>
        <v>Lainnya Uji</v>
      </c>
      <c r="L43" s="37">
        <f>SUMIFS(FebTable[Jumlah (Rp)],FebTable[Tipe],"Pengeluaran",FebTable[Pembayaran],K43)</f>
        <v>0</v>
      </c>
      <c r="M43" s="48">
        <f t="shared" si="2"/>
        <v>0</v>
      </c>
      <c r="N43" s="33"/>
      <c r="O43" s="33"/>
      <c r="P43" s="33"/>
      <c r="Q43" s="33"/>
      <c r="R43" s="33"/>
      <c r="S43" s="33"/>
      <c r="T43" s="33"/>
      <c r="U43" s="33"/>
      <c r="V43" s="33"/>
    </row>
    <row r="44" spans="1:41" ht="24.75" customHeight="1" x14ac:dyDescent="0.25">
      <c r="A44" s="5"/>
      <c r="B44" s="3"/>
      <c r="C44" s="3"/>
      <c r="D44" s="3"/>
      <c r="E44" s="6"/>
      <c r="F44" s="4"/>
      <c r="K44" s="40" t="s">
        <v>21</v>
      </c>
      <c r="L44" s="42">
        <f>SUM(L36:L43)</f>
        <v>250000</v>
      </c>
      <c r="M44" s="44">
        <f t="shared" si="2"/>
        <v>1</v>
      </c>
      <c r="N44" s="33"/>
      <c r="O44" s="33"/>
      <c r="P44" s="33"/>
      <c r="Q44" s="33"/>
      <c r="R44" s="33"/>
      <c r="S44" s="33"/>
      <c r="T44" s="33"/>
      <c r="U44" s="33"/>
      <c r="V44" s="33"/>
    </row>
    <row r="45" spans="1:41" ht="24.75" customHeight="1" x14ac:dyDescent="0.25">
      <c r="A45" s="5"/>
      <c r="B45" s="3"/>
      <c r="C45" s="3"/>
      <c r="D45" s="3"/>
      <c r="E45" s="6"/>
      <c r="F45" s="4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</row>
    <row r="46" spans="1:41" ht="24.75" customHeight="1" x14ac:dyDescent="0.25">
      <c r="A46" s="5"/>
      <c r="B46" s="3"/>
      <c r="C46" s="3"/>
      <c r="D46" s="3"/>
      <c r="E46" s="6"/>
      <c r="F46" s="4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</row>
    <row r="47" spans="1:41" ht="24.75" customHeight="1" x14ac:dyDescent="0.25">
      <c r="A47" s="5"/>
      <c r="B47" s="3"/>
      <c r="C47" s="3"/>
      <c r="D47" s="3"/>
      <c r="E47" s="6"/>
      <c r="F47" s="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</row>
    <row r="48" spans="1:41" ht="24.75" customHeight="1" x14ac:dyDescent="0.25">
      <c r="A48" s="5"/>
      <c r="B48" s="3"/>
      <c r="C48" s="3"/>
      <c r="D48" s="3"/>
      <c r="E48" s="6"/>
      <c r="F48" s="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</row>
    <row r="49" spans="1:22" ht="24.75" customHeight="1" x14ac:dyDescent="0.25">
      <c r="A49" s="5"/>
      <c r="B49" s="3"/>
      <c r="C49" s="3"/>
      <c r="D49" s="3"/>
      <c r="E49" s="6"/>
      <c r="F49" s="4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ht="24.75" customHeight="1" x14ac:dyDescent="0.25">
      <c r="A50" s="5"/>
      <c r="B50" s="3"/>
      <c r="C50" s="3"/>
      <c r="D50" s="3"/>
      <c r="E50" s="6"/>
      <c r="F50" s="4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</row>
    <row r="51" spans="1:22" ht="24.75" customHeight="1" x14ac:dyDescent="0.25">
      <c r="A51" s="5"/>
      <c r="B51" s="3"/>
      <c r="C51" s="3"/>
      <c r="D51" s="3"/>
      <c r="E51" s="6"/>
      <c r="F51" s="4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</row>
    <row r="52" spans="1:22" ht="24.75" customHeight="1" x14ac:dyDescent="0.25">
      <c r="A52" s="5"/>
      <c r="B52" s="3"/>
      <c r="C52" s="3"/>
      <c r="D52" s="3"/>
      <c r="E52" s="6"/>
      <c r="F52" s="4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</row>
    <row r="53" spans="1:22" ht="24.75" customHeight="1" x14ac:dyDescent="0.25">
      <c r="A53" s="5"/>
      <c r="B53" s="3"/>
      <c r="C53" s="3"/>
      <c r="D53" s="3"/>
      <c r="E53" s="6"/>
      <c r="F53" s="4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</row>
    <row r="54" spans="1:22" ht="24.75" customHeight="1" x14ac:dyDescent="0.25">
      <c r="A54" s="5"/>
      <c r="B54" s="3"/>
      <c r="C54" s="3"/>
      <c r="D54" s="3"/>
      <c r="E54" s="6"/>
      <c r="F54" s="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</row>
    <row r="55" spans="1:22" ht="24.75" customHeight="1" x14ac:dyDescent="0.25">
      <c r="A55" s="5"/>
      <c r="B55" s="3"/>
      <c r="C55" s="3"/>
      <c r="D55" s="3"/>
      <c r="E55" s="6"/>
      <c r="F55" s="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</row>
    <row r="56" spans="1:22" ht="24.75" customHeight="1" x14ac:dyDescent="0.25">
      <c r="A56" s="5"/>
      <c r="B56" s="3"/>
      <c r="C56" s="3"/>
      <c r="D56" s="3"/>
      <c r="E56" s="6"/>
      <c r="F56" s="4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</row>
    <row r="57" spans="1:22" ht="24.75" customHeight="1" x14ac:dyDescent="0.25">
      <c r="A57" s="5"/>
      <c r="B57" s="3"/>
      <c r="C57" s="3"/>
      <c r="D57" s="3"/>
      <c r="E57" s="6"/>
      <c r="F57" s="4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</row>
    <row r="58" spans="1:22" ht="24.75" customHeight="1" x14ac:dyDescent="0.25">
      <c r="A58" s="5"/>
      <c r="B58" s="3"/>
      <c r="C58" s="3"/>
      <c r="D58" s="3"/>
      <c r="E58" s="6"/>
      <c r="F58" s="4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</row>
    <row r="59" spans="1:22" ht="24.75" customHeight="1" x14ac:dyDescent="0.25">
      <c r="A59" s="5"/>
      <c r="B59" s="3"/>
      <c r="C59" s="3"/>
      <c r="D59" s="3"/>
      <c r="E59" s="6"/>
      <c r="F59" s="4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</row>
    <row r="60" spans="1:22" ht="24.75" customHeight="1" x14ac:dyDescent="0.25">
      <c r="A60" s="5"/>
      <c r="B60" s="3"/>
      <c r="C60" s="3"/>
      <c r="D60" s="3"/>
      <c r="E60" s="6"/>
      <c r="F60" s="4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</row>
    <row r="61" spans="1:22" ht="24.75" customHeight="1" x14ac:dyDescent="0.25">
      <c r="A61" s="5"/>
      <c r="B61" s="3"/>
      <c r="C61" s="3"/>
      <c r="D61" s="3"/>
      <c r="E61" s="6"/>
      <c r="F61" s="4"/>
    </row>
    <row r="62" spans="1:22" ht="24.75" customHeight="1" x14ac:dyDescent="0.25">
      <c r="A62" s="5"/>
      <c r="B62" s="3"/>
      <c r="C62" s="3"/>
      <c r="D62" s="3"/>
      <c r="E62" s="6"/>
      <c r="F62" s="4"/>
    </row>
    <row r="63" spans="1:22" ht="24.75" customHeight="1" x14ac:dyDescent="0.25">
      <c r="A63" s="5"/>
      <c r="B63" s="3"/>
      <c r="C63" s="3"/>
      <c r="D63" s="3"/>
      <c r="E63" s="6"/>
      <c r="F63" s="4"/>
    </row>
    <row r="64" spans="1:22" ht="24.75" customHeight="1" x14ac:dyDescent="0.25">
      <c r="A64" s="5"/>
      <c r="B64" s="3"/>
      <c r="C64" s="3"/>
      <c r="D64" s="3"/>
      <c r="E64" s="6"/>
      <c r="F64" s="4"/>
    </row>
    <row r="65" spans="1:6" ht="24.75" customHeight="1" x14ac:dyDescent="0.25">
      <c r="A65" s="5"/>
      <c r="B65" s="3"/>
      <c r="C65" s="3"/>
      <c r="D65" s="3"/>
      <c r="E65" s="6"/>
      <c r="F65" s="4"/>
    </row>
    <row r="66" spans="1:6" ht="24.75" customHeight="1" x14ac:dyDescent="0.25">
      <c r="A66" s="5"/>
      <c r="B66" s="3"/>
      <c r="C66" s="3"/>
      <c r="D66" s="3"/>
      <c r="E66" s="6"/>
      <c r="F66" s="4"/>
    </row>
    <row r="67" spans="1:6" ht="24.75" customHeight="1" x14ac:dyDescent="0.25">
      <c r="A67" s="5"/>
      <c r="B67" s="3"/>
      <c r="C67" s="3"/>
      <c r="D67" s="3"/>
      <c r="E67" s="6"/>
      <c r="F67" s="4"/>
    </row>
    <row r="68" spans="1:6" ht="24.75" customHeight="1" x14ac:dyDescent="0.25">
      <c r="A68" s="5"/>
      <c r="B68" s="3"/>
      <c r="C68" s="3"/>
      <c r="D68" s="3"/>
      <c r="E68" s="6"/>
      <c r="F68" s="4"/>
    </row>
    <row r="69" spans="1:6" ht="24.75" customHeight="1" x14ac:dyDescent="0.25">
      <c r="A69" s="5"/>
      <c r="B69" s="3"/>
      <c r="C69" s="3"/>
      <c r="D69" s="3"/>
      <c r="E69" s="6"/>
      <c r="F69" s="4"/>
    </row>
    <row r="70" spans="1:6" ht="24.75" customHeight="1" x14ac:dyDescent="0.25">
      <c r="A70" s="5"/>
      <c r="B70" s="3"/>
      <c r="C70" s="3"/>
      <c r="D70" s="3"/>
      <c r="E70" s="6"/>
      <c r="F70" s="4"/>
    </row>
    <row r="71" spans="1:6" ht="24.75" customHeight="1" x14ac:dyDescent="0.25">
      <c r="A71" s="5"/>
      <c r="B71" s="3"/>
      <c r="C71" s="3"/>
      <c r="D71" s="3"/>
      <c r="E71" s="6"/>
      <c r="F71" s="4"/>
    </row>
    <row r="72" spans="1:6" ht="24.75" customHeight="1" x14ac:dyDescent="0.25">
      <c r="A72" s="5"/>
      <c r="B72" s="3"/>
      <c r="C72" s="3"/>
      <c r="D72" s="3"/>
      <c r="E72" s="6"/>
      <c r="F72" s="4"/>
    </row>
    <row r="73" spans="1:6" ht="24.75" customHeight="1" x14ac:dyDescent="0.25">
      <c r="A73" s="5"/>
      <c r="B73" s="3"/>
      <c r="C73" s="3"/>
      <c r="D73" s="3"/>
      <c r="E73" s="6"/>
      <c r="F73" s="4"/>
    </row>
    <row r="74" spans="1:6" ht="24.75" customHeight="1" x14ac:dyDescent="0.25">
      <c r="A74" s="5"/>
      <c r="B74" s="3"/>
      <c r="C74" s="3"/>
      <c r="D74" s="3"/>
      <c r="E74" s="6"/>
      <c r="F74" s="4"/>
    </row>
    <row r="75" spans="1:6" ht="24.75" customHeight="1" x14ac:dyDescent="0.25">
      <c r="A75" s="5"/>
      <c r="B75" s="3"/>
      <c r="C75" s="3"/>
      <c r="D75" s="3"/>
      <c r="E75" s="6"/>
      <c r="F75" s="4"/>
    </row>
    <row r="76" spans="1:6" ht="24.75" customHeight="1" x14ac:dyDescent="0.25">
      <c r="A76" s="5"/>
      <c r="B76" s="3"/>
      <c r="C76" s="3"/>
      <c r="D76" s="3"/>
      <c r="E76" s="6"/>
      <c r="F76" s="4"/>
    </row>
    <row r="77" spans="1:6" ht="24.75" customHeight="1" x14ac:dyDescent="0.25">
      <c r="A77" s="5"/>
      <c r="B77" s="3"/>
      <c r="C77" s="3"/>
      <c r="D77" s="3"/>
      <c r="E77" s="6"/>
      <c r="F77" s="4"/>
    </row>
    <row r="78" spans="1:6" ht="24.75" customHeight="1" x14ac:dyDescent="0.25">
      <c r="A78" s="5"/>
      <c r="B78" s="3"/>
      <c r="C78" s="3"/>
      <c r="D78" s="3"/>
      <c r="E78" s="6"/>
      <c r="F78" s="4"/>
    </row>
    <row r="79" spans="1:6" ht="24.75" customHeight="1" x14ac:dyDescent="0.25">
      <c r="A79" s="5"/>
      <c r="B79" s="3"/>
      <c r="C79" s="3"/>
      <c r="D79" s="3"/>
      <c r="E79" s="6"/>
      <c r="F79" s="4"/>
    </row>
    <row r="80" spans="1:6" ht="24.75" customHeight="1" x14ac:dyDescent="0.25">
      <c r="A80" s="5"/>
      <c r="B80" s="3"/>
      <c r="C80" s="3"/>
      <c r="D80" s="3"/>
      <c r="E80" s="6"/>
      <c r="F80" s="4"/>
    </row>
    <row r="81" spans="1:6" ht="24.75" customHeight="1" x14ac:dyDescent="0.25">
      <c r="A81" s="5"/>
      <c r="B81" s="3"/>
      <c r="C81" s="3"/>
      <c r="D81" s="3"/>
      <c r="E81" s="6"/>
      <c r="F81" s="4"/>
    </row>
    <row r="82" spans="1:6" ht="24.75" customHeight="1" x14ac:dyDescent="0.25">
      <c r="A82" s="5"/>
      <c r="B82" s="3"/>
      <c r="C82" s="3"/>
      <c r="D82" s="3"/>
      <c r="E82" s="6"/>
      <c r="F82" s="4"/>
    </row>
    <row r="83" spans="1:6" ht="24.75" customHeight="1" x14ac:dyDescent="0.25">
      <c r="A83" s="5"/>
      <c r="B83" s="3"/>
      <c r="C83" s="3"/>
      <c r="D83" s="3"/>
      <c r="E83" s="6"/>
      <c r="F83" s="4"/>
    </row>
    <row r="84" spans="1:6" ht="24.75" customHeight="1" x14ac:dyDescent="0.25">
      <c r="A84" s="5"/>
      <c r="B84" s="3"/>
      <c r="C84" s="3"/>
      <c r="D84" s="3"/>
      <c r="E84" s="6"/>
      <c r="F84" s="4"/>
    </row>
    <row r="85" spans="1:6" ht="24.75" customHeight="1" x14ac:dyDescent="0.25">
      <c r="A85" s="5"/>
      <c r="B85" s="3"/>
      <c r="C85" s="3"/>
      <c r="D85" s="3"/>
      <c r="E85" s="6"/>
      <c r="F85" s="4"/>
    </row>
    <row r="86" spans="1:6" ht="24.75" customHeight="1" x14ac:dyDescent="0.25">
      <c r="A86" s="5"/>
      <c r="B86" s="3"/>
      <c r="C86" s="3"/>
      <c r="D86" s="3"/>
      <c r="E86" s="6"/>
      <c r="F86" s="4"/>
    </row>
    <row r="87" spans="1:6" ht="24.75" customHeight="1" x14ac:dyDescent="0.25">
      <c r="A87" s="5"/>
      <c r="B87" s="3"/>
      <c r="C87" s="3"/>
      <c r="D87" s="3"/>
      <c r="E87" s="6"/>
      <c r="F87" s="4"/>
    </row>
    <row r="88" spans="1:6" ht="24.75" customHeight="1" x14ac:dyDescent="0.25">
      <c r="A88" s="5"/>
      <c r="B88" s="3"/>
      <c r="C88" s="3"/>
      <c r="D88" s="3"/>
      <c r="E88" s="6"/>
      <c r="F88" s="4"/>
    </row>
    <row r="89" spans="1:6" ht="24.75" customHeight="1" x14ac:dyDescent="0.25">
      <c r="A89" s="5"/>
      <c r="B89" s="3"/>
      <c r="C89" s="3"/>
      <c r="D89" s="3"/>
      <c r="E89" s="6"/>
      <c r="F89" s="4"/>
    </row>
    <row r="90" spans="1:6" ht="24.75" customHeight="1" x14ac:dyDescent="0.25">
      <c r="A90" s="5"/>
      <c r="B90" s="3"/>
      <c r="C90" s="3"/>
      <c r="D90" s="3"/>
      <c r="E90" s="6"/>
      <c r="F90" s="4"/>
    </row>
    <row r="91" spans="1:6" ht="24.75" customHeight="1" x14ac:dyDescent="0.25">
      <c r="A91" s="5"/>
      <c r="B91" s="3"/>
      <c r="C91" s="3"/>
      <c r="D91" s="3"/>
      <c r="E91" s="6"/>
      <c r="F91" s="4"/>
    </row>
    <row r="92" spans="1:6" ht="24.75" customHeight="1" x14ac:dyDescent="0.25">
      <c r="A92" s="5"/>
      <c r="B92" s="3"/>
      <c r="C92" s="3"/>
      <c r="D92" s="3"/>
      <c r="E92" s="6"/>
      <c r="F92" s="4"/>
    </row>
    <row r="93" spans="1:6" ht="24.75" customHeight="1" x14ac:dyDescent="0.25">
      <c r="A93" s="5"/>
      <c r="B93" s="3"/>
      <c r="C93" s="3"/>
      <c r="D93" s="3"/>
      <c r="E93" s="6"/>
      <c r="F93" s="4"/>
    </row>
    <row r="94" spans="1:6" ht="24.75" customHeight="1" x14ac:dyDescent="0.25">
      <c r="A94" s="5"/>
      <c r="B94" s="3"/>
      <c r="C94" s="3"/>
      <c r="D94" s="3"/>
      <c r="E94" s="6"/>
      <c r="F94" s="4"/>
    </row>
    <row r="95" spans="1:6" ht="24.75" customHeight="1" x14ac:dyDescent="0.25">
      <c r="A95" s="5"/>
      <c r="B95" s="3"/>
      <c r="C95" s="3"/>
      <c r="D95" s="3"/>
      <c r="E95" s="6"/>
      <c r="F95" s="4"/>
    </row>
    <row r="96" spans="1:6" ht="24.75" customHeight="1" x14ac:dyDescent="0.25">
      <c r="A96" s="5"/>
      <c r="B96" s="3"/>
      <c r="C96" s="3"/>
      <c r="D96" s="3"/>
      <c r="E96" s="6"/>
      <c r="F96" s="4"/>
    </row>
    <row r="97" spans="1:6" ht="24.75" customHeight="1" x14ac:dyDescent="0.25">
      <c r="A97" s="5"/>
      <c r="B97" s="3"/>
      <c r="C97" s="3"/>
      <c r="D97" s="3"/>
      <c r="E97" s="6"/>
      <c r="F97" s="4"/>
    </row>
    <row r="98" spans="1:6" ht="24.75" customHeight="1" x14ac:dyDescent="0.25">
      <c r="A98" s="5"/>
      <c r="B98" s="3"/>
      <c r="C98" s="3"/>
      <c r="D98" s="3"/>
      <c r="E98" s="6"/>
      <c r="F98" s="4"/>
    </row>
    <row r="99" spans="1:6" ht="24.75" customHeight="1" x14ac:dyDescent="0.25">
      <c r="A99" s="5"/>
      <c r="B99" s="3"/>
      <c r="C99" s="3"/>
      <c r="D99" s="3"/>
      <c r="E99" s="6"/>
      <c r="F99" s="4"/>
    </row>
    <row r="100" spans="1:6" ht="24.75" customHeight="1" x14ac:dyDescent="0.25">
      <c r="A100" s="5"/>
      <c r="B100" s="3"/>
      <c r="C100" s="3"/>
      <c r="D100" s="3"/>
      <c r="E100" s="6"/>
      <c r="F100" s="4"/>
    </row>
    <row r="101" spans="1:6" ht="24.75" customHeight="1" x14ac:dyDescent="0.25">
      <c r="A101" s="5"/>
      <c r="B101" s="3"/>
      <c r="C101" s="3"/>
      <c r="D101" s="3"/>
      <c r="E101" s="6"/>
      <c r="F101" s="4"/>
    </row>
    <row r="102" spans="1:6" ht="24.75" customHeight="1" x14ac:dyDescent="0.25">
      <c r="A102" s="5"/>
      <c r="B102" s="3"/>
      <c r="C102" s="3"/>
      <c r="D102" s="3"/>
      <c r="E102" s="6"/>
      <c r="F102" s="4"/>
    </row>
    <row r="103" spans="1:6" ht="24.75" customHeight="1" x14ac:dyDescent="0.25">
      <c r="A103" s="5"/>
      <c r="B103" s="3"/>
      <c r="C103" s="3"/>
      <c r="D103" s="3"/>
      <c r="E103" s="6"/>
      <c r="F103" s="4"/>
    </row>
    <row r="104" spans="1:6" ht="24.75" customHeight="1" x14ac:dyDescent="0.25">
      <c r="A104" s="5"/>
      <c r="B104" s="3"/>
      <c r="C104" s="3"/>
      <c r="D104" s="3"/>
      <c r="E104" s="6"/>
      <c r="F104" s="4"/>
    </row>
    <row r="105" spans="1:6" ht="24.75" customHeight="1" x14ac:dyDescent="0.25">
      <c r="A105" s="5"/>
      <c r="B105" s="3"/>
      <c r="C105" s="3"/>
      <c r="D105" s="3"/>
      <c r="E105" s="6"/>
      <c r="F105" s="4"/>
    </row>
  </sheetData>
  <mergeCells count="21">
    <mergeCell ref="K16:L16"/>
    <mergeCell ref="K30:L30"/>
    <mergeCell ref="K18:L18"/>
    <mergeCell ref="K25:L25"/>
    <mergeCell ref="K24:L24"/>
    <mergeCell ref="K32:L32"/>
    <mergeCell ref="K31:L31"/>
    <mergeCell ref="K27:L27"/>
    <mergeCell ref="R8:T8"/>
    <mergeCell ref="H13:I13"/>
    <mergeCell ref="K14:L14"/>
    <mergeCell ref="K17:L17"/>
    <mergeCell ref="K10:L10"/>
    <mergeCell ref="K28:L28"/>
    <mergeCell ref="K19:L19"/>
    <mergeCell ref="K15:L15"/>
    <mergeCell ref="K9:L9"/>
    <mergeCell ref="K26:L26"/>
    <mergeCell ref="K29:L29"/>
    <mergeCell ref="K11:L11"/>
    <mergeCell ref="K20:L20"/>
  </mergeCells>
  <conditionalFormatting sqref="M19">
    <cfRule type="cellIs" dxfId="171" priority="3" operator="lessThan">
      <formula>0</formula>
    </cfRule>
    <cfRule type="cellIs" dxfId="170" priority="4" operator="greaterThanOrEqual">
      <formula>0</formula>
    </cfRule>
  </conditionalFormatting>
  <conditionalFormatting sqref="M32">
    <cfRule type="cellIs" dxfId="169" priority="5" operator="equal">
      <formula>"di atas kebiasaan"</formula>
    </cfRule>
    <cfRule type="cellIs" dxfId="168" priority="6" operator="equal">
      <formula>"di bawah kebiasaan"</formula>
    </cfRule>
  </conditionalFormatting>
  <conditionalFormatting sqref="U12:U15">
    <cfRule type="cellIs" dxfId="167" priority="7" operator="greaterThan">
      <formula>0</formula>
    </cfRule>
    <cfRule type="cellIs" dxfId="166" priority="8" operator="lessThan">
      <formula>0</formula>
    </cfRule>
  </conditionalFormatting>
  <conditionalFormatting sqref="U19:U23">
    <cfRule type="cellIs" dxfId="165" priority="9" operator="greaterThan">
      <formula>0</formula>
    </cfRule>
    <cfRule type="cellIs" dxfId="164" priority="10" operator="lessThan">
      <formula>0</formula>
    </cfRule>
  </conditionalFormatting>
  <conditionalFormatting sqref="B6:B505">
    <cfRule type="expression" dxfId="163" priority="11" stopIfTrue="1">
      <formula>TRIM($B6)="Pengeluaran"</formula>
    </cfRule>
    <cfRule type="expression" dxfId="162" priority="12" stopIfTrue="1">
      <formula>TRIM($B6)="Pemasukan"</formula>
    </cfRule>
  </conditionalFormatting>
  <dataValidations count="3">
    <dataValidation type="list" errorStyle="warning" allowBlank="1" errorTitle="Di luar daftar" error="Nilai ini tidak ada di sheet Master. Tetap pakai?" sqref="B6:B505" xr:uid="{00000000-0002-0000-0200-000000000000}">
      <formula1>ListTipe</formula1>
    </dataValidation>
    <dataValidation type="list" errorStyle="warning" allowBlank="1" errorTitle="Di luar daftar" error="Nilai ini tidak ada di sheet Master. Tetap pakai?" sqref="C6:C505" xr:uid="{00000000-0002-0000-0200-000001000000}">
      <formula1>ListPembayaran</formula1>
    </dataValidation>
    <dataValidation type="list" errorStyle="warning" allowBlank="1" errorTitle="Di luar daftar" error="Nilai ini tidak ada di sheet Master. Tetap pakai?" sqref="D6:D505" xr:uid="{00000000-0002-0000-0200-000002000000}">
      <formula1>ListKategori</formula1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5" name="Button 1">
              <controlPr defaultSize="0" print="0" autoFill="0" autoPict="0" macro="TambahBarisBaru_ActiveSheet">
                <anchor moveWithCells="1" sizeWithCells="1">
                  <from>
                    <xdr:col>4</xdr:col>
                    <xdr:colOff>1457325</xdr:colOff>
                    <xdr:row>1</xdr:row>
                    <xdr:rowOff>285750</xdr:rowOff>
                  </from>
                  <to>
                    <xdr:col>5</xdr:col>
                    <xdr:colOff>3038475</xdr:colOff>
                    <xdr:row>3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AO80"/>
  <sheetViews>
    <sheetView topLeftCell="A7" workbookViewId="0"/>
  </sheetViews>
  <sheetFormatPr defaultRowHeight="24.75" customHeight="1" x14ac:dyDescent="0.25"/>
  <cols>
    <col min="1" max="1" width="15" customWidth="1"/>
    <col min="2" max="2" width="14" customWidth="1"/>
    <col min="3" max="3" width="20.85546875" customWidth="1"/>
    <col min="4" max="5" width="22.140625" customWidth="1"/>
    <col min="6" max="6" width="46" customWidth="1"/>
    <col min="7" max="7" width="2" customWidth="1"/>
    <col min="8" max="8" width="16.7109375" customWidth="1"/>
    <col min="9" max="9" width="16.42578125" customWidth="1"/>
    <col min="11" max="11" width="26" customWidth="1"/>
    <col min="12" max="12" width="9" customWidth="1"/>
    <col min="13" max="15" width="16" customWidth="1"/>
    <col min="16" max="16" width="19" customWidth="1"/>
    <col min="17" max="17" width="2" customWidth="1"/>
    <col min="18" max="18" width="22" customWidth="1"/>
    <col min="19" max="21" width="15" customWidth="1"/>
    <col min="22" max="22" width="34" customWidth="1"/>
    <col min="30" max="41" width="13" hidden="1" customWidth="1"/>
  </cols>
  <sheetData>
    <row r="1" spans="1:41" ht="24.75" customHeight="1" x14ac:dyDescent="0.25">
      <c r="A1" s="15" t="s">
        <v>45</v>
      </c>
      <c r="B1" s="16"/>
      <c r="C1" s="17" t="s">
        <v>46</v>
      </c>
      <c r="D1" s="16"/>
      <c r="K1" s="32" t="s">
        <v>47</v>
      </c>
      <c r="L1" s="33"/>
      <c r="M1" s="33"/>
      <c r="N1" s="33"/>
      <c r="O1" s="33"/>
      <c r="P1" s="33"/>
      <c r="Q1" s="33"/>
      <c r="R1" s="32" t="s">
        <v>48</v>
      </c>
      <c r="S1" s="33"/>
      <c r="T1" s="33"/>
      <c r="U1" s="33"/>
      <c r="V1" s="33"/>
      <c r="AD1" s="33">
        <f>DATE(2026,3,1)</f>
        <v>46082</v>
      </c>
      <c r="AE1" s="33"/>
      <c r="AF1" s="33" t="s">
        <v>49</v>
      </c>
      <c r="AG1" s="33"/>
      <c r="AH1" s="33" t="s">
        <v>50</v>
      </c>
      <c r="AI1" s="33" t="s">
        <v>51</v>
      </c>
      <c r="AJ1" s="33" t="str">
        <f>Master!$A$5</f>
        <v>Kategori Uji 01</v>
      </c>
      <c r="AK1" s="33">
        <f>SUMIFS(MarTable[Jumlah (Rp)],MarTable[Tipe],"Pengeluaran",MarTable[Kategori],AJ1)</f>
        <v>0</v>
      </c>
      <c r="AL1" s="33">
        <f>SUMIFS(FebTable[Jumlah (Rp)],FebTable[Tipe],"Pengeluaran",FebTable[Kategori],AJ1)</f>
        <v>0</v>
      </c>
      <c r="AM1" s="33">
        <f t="shared" ref="AM1:AM23" si="0">AK1+ROW()/1000000</f>
        <v>9.9999999999999995E-7</v>
      </c>
      <c r="AN1" s="33">
        <f>MAX($AM$1:$AM$23)</f>
        <v>2.3E-5</v>
      </c>
      <c r="AO1" s="33">
        <f>IFERROR(MATCH(AN1,$AM$1:$AM$23,0),0)</f>
        <v>23</v>
      </c>
    </row>
    <row r="2" spans="1:41" ht="24.75" customHeight="1" x14ac:dyDescent="0.25">
      <c r="A2" s="15" t="s">
        <v>5</v>
      </c>
      <c r="B2" s="7" t="str">
        <f>IF(B1=0,"",B1-D4)</f>
        <v/>
      </c>
      <c r="C2" s="17" t="s">
        <v>52</v>
      </c>
      <c r="D2" s="2">
        <f>SUMIFS(MarTable[Jumlah (Rp)],MarTable[Tipe],"Pemasukan")</f>
        <v>0</v>
      </c>
      <c r="E2" s="8">
        <f>IFERROR(D2/(D2+D3),0)</f>
        <v>0</v>
      </c>
      <c r="K2" s="34" t="s">
        <v>53</v>
      </c>
      <c r="L2" s="34" t="s">
        <v>54</v>
      </c>
      <c r="M2" s="34" t="s">
        <v>55</v>
      </c>
      <c r="N2" s="34" t="s">
        <v>56</v>
      </c>
      <c r="O2" s="34" t="s">
        <v>57</v>
      </c>
      <c r="P2" s="34" t="s">
        <v>58</v>
      </c>
      <c r="Q2" s="33"/>
      <c r="R2" s="34" t="s">
        <v>59</v>
      </c>
      <c r="S2" s="34" t="s">
        <v>49</v>
      </c>
      <c r="T2" s="34" t="s">
        <v>25</v>
      </c>
      <c r="U2" s="34" t="s">
        <v>60</v>
      </c>
      <c r="V2" s="34" t="s">
        <v>61</v>
      </c>
      <c r="AD2" s="33">
        <f>EOMONTH(AD1,0)</f>
        <v>46112</v>
      </c>
      <c r="AE2" s="33"/>
      <c r="AF2" s="33">
        <v>1</v>
      </c>
      <c r="AG2" s="33">
        <f t="shared" ref="AG2:AG32" si="1">DATE(2026,3,AF2)</f>
        <v>46082</v>
      </c>
      <c r="AH2" s="33">
        <f ca="1">IF(OR(AF2&gt;$AD$4,AF2&gt;$AD$3),NA(),SUMIFS(MarTable[Jumlah (Rp)],MarTable[Tipe],"Pengeluaran",MarTable[Tanggal],"&lt;="&amp;AG2))</f>
        <v>0</v>
      </c>
      <c r="AI2" s="33">
        <f>IF(AF2&gt;$AD$4,NA(),Rekap!$B$19/$AD$4*AF2)</f>
        <v>7653.2258064516127</v>
      </c>
      <c r="AJ2" s="33" t="str">
        <f>Master!$A$6</f>
        <v>Kategori Uji 02</v>
      </c>
      <c r="AK2" s="33">
        <f>SUMIFS(MarTable[Jumlah (Rp)],MarTable[Tipe],"Pengeluaran",MarTable[Kategori],AJ2)</f>
        <v>0</v>
      </c>
      <c r="AL2" s="33">
        <f>SUMIFS(FebTable[Jumlah (Rp)],FebTable[Tipe],"Pengeluaran",FebTable[Kategori],AJ2)</f>
        <v>0</v>
      </c>
      <c r="AM2" s="33">
        <f t="shared" si="0"/>
        <v>1.9999999999999999E-6</v>
      </c>
      <c r="AN2" s="33">
        <f>SUMPRODUCT(MAX(($AM$1:$AM$23&lt;AN1)*$AM$1:$AM$23))</f>
        <v>2.1999999999999999E-5</v>
      </c>
      <c r="AO2" s="33">
        <f>IFERROR(MATCH(AN2,$AM$1:$AM$23,0),0)</f>
        <v>22</v>
      </c>
    </row>
    <row r="3" spans="1:41" ht="24.75" customHeight="1" x14ac:dyDescent="0.25">
      <c r="A3" s="15" t="s">
        <v>6</v>
      </c>
      <c r="B3" s="18" t="str">
        <f>IF(D2=0,"",(D2-D3)/D2)</f>
        <v/>
      </c>
      <c r="C3" s="19" t="s">
        <v>62</v>
      </c>
      <c r="D3" s="2">
        <f>SUMIFS(MarTable[Jumlah (Rp)],MarTable[Tipe],"Pengeluaran")</f>
        <v>0</v>
      </c>
      <c r="E3" s="8">
        <f>IFERROR(D3/(D2+D3),0)</f>
        <v>0</v>
      </c>
      <c r="K3" s="35" t="str">
        <f>"Uang Makan (hari kerja "&amp;TEXT($AD$1-1,"mmmm")&amp;")"</f>
        <v>Uang Makan (hari kerja February)</v>
      </c>
      <c r="L3" s="36">
        <v>10</v>
      </c>
      <c r="M3" s="37">
        <f>$M$10*$M$11</f>
        <v>0</v>
      </c>
      <c r="N3" s="37">
        <f>SUMIFS(MarTable[Jumlah (Rp)],MarTable[Tipe],"Pemasukan",MarTable[Kategori],"Uang Makan")</f>
        <v>0</v>
      </c>
      <c r="O3" s="37">
        <f ca="1">IF(OR(N3&gt;0,TODAY()&gt;$AD$2),0,N(M3))</f>
        <v>0</v>
      </c>
      <c r="P3" s="35" t="str">
        <f ca="1">IF(N3&gt;0,"sudah cair",IF(TODAY()&gt;$AD$2,"bulan sudah lewat",IF(N(M3)=0,"isi estimasi dulu","menunggu tgl 10")))</f>
        <v>bulan sudah lewat</v>
      </c>
      <c r="Q3" s="33"/>
      <c r="R3" s="36">
        <v>1</v>
      </c>
      <c r="S3" s="38">
        <f>IF($AE$6=0,"",INDEX(MarTable[Tanggal],$AE$6))</f>
        <v>0</v>
      </c>
      <c r="T3" s="35">
        <f>IF($AE$6=0,"",INDEX(MarTable[Kategori],$AE$6))</f>
        <v>0</v>
      </c>
      <c r="U3" s="37">
        <f>IF($AE$6=0,"",INDEX(MarTable[Jumlah (Rp)],$AE$6))</f>
        <v>0</v>
      </c>
      <c r="V3" s="35">
        <f>IF($AE$6=0,"",INDEX(MarTable[Keterangan],$AE$6))</f>
        <v>0</v>
      </c>
      <c r="AD3" s="33">
        <f ca="1">IF(TODAY()&gt;=AD2,DAY(AD2),IF(TODAY()&lt;AD1,0,DAY(TODAY())))</f>
        <v>31</v>
      </c>
      <c r="AE3" s="33"/>
      <c r="AF3" s="33">
        <v>2</v>
      </c>
      <c r="AG3" s="33">
        <f t="shared" si="1"/>
        <v>46083</v>
      </c>
      <c r="AH3" s="33">
        <f ca="1">IF(OR(AF3&gt;$AD$4,AF3&gt;$AD$3),NA(),SUMIFS(MarTable[Jumlah (Rp)],MarTable[Tipe],"Pengeluaran",MarTable[Tanggal],"&lt;="&amp;AG3))</f>
        <v>0</v>
      </c>
      <c r="AI3" s="33">
        <f>IF(AF3&gt;$AD$4,NA(),Rekap!$B$19/$AD$4*AF3)</f>
        <v>15306.451612903225</v>
      </c>
      <c r="AJ3" s="33" t="str">
        <f>Master!$A$7</f>
        <v>Kategori Uji 03</v>
      </c>
      <c r="AK3" s="33">
        <f>SUMIFS(MarTable[Jumlah (Rp)],MarTable[Tipe],"Pengeluaran",MarTable[Kategori],AJ3)</f>
        <v>0</v>
      </c>
      <c r="AL3" s="33">
        <f>SUMIFS(FebTable[Jumlah (Rp)],FebTable[Tipe],"Pengeluaran",FebTable[Kategori],AJ3)</f>
        <v>250000</v>
      </c>
      <c r="AM3" s="33">
        <f t="shared" si="0"/>
        <v>3.0000000000000001E-6</v>
      </c>
      <c r="AN3" s="33">
        <f>SUMPRODUCT(MAX(($AM$1:$AM$23&lt;AN2)*$AM$1:$AM$23))</f>
        <v>2.0999999999999999E-5</v>
      </c>
      <c r="AO3" s="33">
        <f>IFERROR(MATCH(AN3,$AM$1:$AM$23,0),0)</f>
        <v>21</v>
      </c>
    </row>
    <row r="4" spans="1:41" ht="24.75" customHeight="1" x14ac:dyDescent="0.25">
      <c r="A4" s="15" t="s">
        <v>63</v>
      </c>
      <c r="B4">
        <f>COUNTA(MarTable[Tanggal])</f>
        <v>0</v>
      </c>
      <c r="C4" s="17" t="s">
        <v>64</v>
      </c>
      <c r="D4" s="20">
        <f>D1+D2-D3</f>
        <v>0</v>
      </c>
      <c r="K4" s="35" t="s">
        <v>144</v>
      </c>
      <c r="L4" s="36">
        <v>10</v>
      </c>
      <c r="M4" s="39">
        <v>5000000</v>
      </c>
      <c r="N4" s="37">
        <f>SUMIFS(MarTable[Jumlah (Rp)],MarTable[Tipe],"Pemasukan",MarTable[Kategori],"Gaji")</f>
        <v>0</v>
      </c>
      <c r="O4" s="37">
        <f ca="1">IF(OR(N4&gt;1000000,TODAY()&gt;$AD$2),0,N(M4))</f>
        <v>0</v>
      </c>
      <c r="P4" s="35" t="str">
        <f ca="1">IF(N4&gt;1000000,"sudah cair",IF(TODAY()&gt;$AD$2,"bulan sudah lewat",IF(N(M4)=0,"isi estimasi dulu","menunggu tgl 25")))</f>
        <v>bulan sudah lewat</v>
      </c>
      <c r="Q4" s="33"/>
      <c r="R4" s="36">
        <v>2</v>
      </c>
      <c r="S4" s="38">
        <f>IF($AE$7=0,"",INDEX(MarTable[Tanggal],$AE$7))</f>
        <v>0</v>
      </c>
      <c r="T4" s="35">
        <f>IF($AE$7=0,"",INDEX(MarTable[Kategori],$AE$7))</f>
        <v>0</v>
      </c>
      <c r="U4" s="37">
        <f>IF($AE$7=0,"",INDEX(MarTable[Jumlah (Rp)],$AE$7))</f>
        <v>0</v>
      </c>
      <c r="V4" s="35">
        <f>IF($AE$7=0,"",INDEX(MarTable[Keterangan],$AE$7))</f>
        <v>0</v>
      </c>
      <c r="AD4" s="33">
        <f>DAY(AD2)</f>
        <v>31</v>
      </c>
      <c r="AE4" s="33"/>
      <c r="AF4" s="33">
        <v>3</v>
      </c>
      <c r="AG4" s="33">
        <f t="shared" si="1"/>
        <v>46084</v>
      </c>
      <c r="AH4" s="33">
        <f ca="1">IF(OR(AF4&gt;$AD$4,AF4&gt;$AD$3),NA(),SUMIFS(MarTable[Jumlah (Rp)],MarTable[Tipe],"Pengeluaran",MarTable[Tanggal],"&lt;="&amp;AG4))</f>
        <v>0</v>
      </c>
      <c r="AI4" s="33">
        <f>IF(AF4&gt;$AD$4,NA(),Rekap!$B$19/$AD$4*AF4)</f>
        <v>22959.677419354837</v>
      </c>
      <c r="AJ4" s="33" t="str">
        <f>Master!$A$8</f>
        <v>Kategori Uji 04</v>
      </c>
      <c r="AK4" s="33">
        <f>SUMIFS(MarTable[Jumlah (Rp)],MarTable[Tipe],"Pengeluaran",MarTable[Kategori],AJ4)</f>
        <v>0</v>
      </c>
      <c r="AL4" s="33">
        <f>SUMIFS(FebTable[Jumlah (Rp)],FebTable[Tipe],"Pengeluaran",FebTable[Kategori],AJ4)</f>
        <v>0</v>
      </c>
      <c r="AM4" s="33">
        <f t="shared" si="0"/>
        <v>3.9999999999999998E-6</v>
      </c>
      <c r="AN4" s="33">
        <f>SUMPRODUCT(MAX(($AM$1:$AM$23&lt;AN3)*$AM$1:$AM$23))</f>
        <v>2.0000000000000002E-5</v>
      </c>
      <c r="AO4" s="33">
        <f>IFERROR(MATCH(AN4,$AM$1:$AM$23,0),0)</f>
        <v>20</v>
      </c>
    </row>
    <row r="5" spans="1:41" ht="24.75" customHeight="1" x14ac:dyDescent="0.25">
      <c r="A5" s="1" t="s">
        <v>49</v>
      </c>
      <c r="B5" s="1" t="s">
        <v>65</v>
      </c>
      <c r="C5" s="1" t="s">
        <v>66</v>
      </c>
      <c r="D5" s="1" t="s">
        <v>25</v>
      </c>
      <c r="E5" s="1" t="s">
        <v>67</v>
      </c>
      <c r="F5" s="1" t="s">
        <v>61</v>
      </c>
      <c r="K5" s="35" t="s">
        <v>145</v>
      </c>
      <c r="L5" s="36">
        <v>20</v>
      </c>
      <c r="M5" s="39">
        <v>1000000</v>
      </c>
      <c r="N5" s="37">
        <f>SUMIFS(MarTable[Jumlah (Rp)],MarTable[Tipe],"Pemasukan",MarTable[Kategori],"Freelance")</f>
        <v>0</v>
      </c>
      <c r="O5" s="37">
        <f ca="1">IF(OR(N5&gt;0,TODAY()&gt;$AD$2),0,N(M5))</f>
        <v>0</v>
      </c>
      <c r="P5" s="35" t="str">
        <f ca="1">IF(N5&gt;0,"sudah cair",IF(TODAY()&gt;$AD$2,"bulan sudah lewat",IF(N(M5)=0,"isi estimasi dulu","menunggu tgl 28")))</f>
        <v>bulan sudah lewat</v>
      </c>
      <c r="Q5" s="33"/>
      <c r="R5" s="36">
        <v>3</v>
      </c>
      <c r="S5" s="38">
        <f>IF($AE$8=0,"",INDEX(MarTable[Tanggal],$AE$8))</f>
        <v>0</v>
      </c>
      <c r="T5" s="35">
        <f>IF($AE$8=0,"",INDEX(MarTable[Kategori],$AE$8))</f>
        <v>0</v>
      </c>
      <c r="U5" s="37">
        <f>IF($AE$8=0,"",INDEX(MarTable[Jumlah (Rp)],$AE$8))</f>
        <v>0</v>
      </c>
      <c r="V5" s="35">
        <f>IF($AE$8=0,"",INDEX(MarTable[Keterangan],$AE$8))</f>
        <v>0</v>
      </c>
      <c r="AD5" s="33"/>
      <c r="AE5" s="33"/>
      <c r="AF5" s="33">
        <v>4</v>
      </c>
      <c r="AG5" s="33">
        <f t="shared" si="1"/>
        <v>46085</v>
      </c>
      <c r="AH5" s="33">
        <f ca="1">IF(OR(AF5&gt;$AD$4,AF5&gt;$AD$3),NA(),SUMIFS(MarTable[Jumlah (Rp)],MarTable[Tipe],"Pengeluaran",MarTable[Tanggal],"&lt;="&amp;AG5))</f>
        <v>0</v>
      </c>
      <c r="AI5" s="33">
        <f>IF(AF5&gt;$AD$4,NA(),Rekap!$B$19/$AD$4*AF5)</f>
        <v>30612.903225806451</v>
      </c>
      <c r="AJ5" s="33" t="str">
        <f>Master!$A$9</f>
        <v>Kategori Uji 05</v>
      </c>
      <c r="AK5" s="33">
        <f>SUMIFS(MarTable[Jumlah (Rp)],MarTable[Tipe],"Pengeluaran",MarTable[Kategori],AJ5)</f>
        <v>0</v>
      </c>
      <c r="AL5" s="33">
        <f>SUMIFS(FebTable[Jumlah (Rp)],FebTable[Tipe],"Pengeluaran",FebTable[Kategori],AJ5)</f>
        <v>0</v>
      </c>
      <c r="AM5" s="33">
        <f t="shared" si="0"/>
        <v>5.0000000000000004E-6</v>
      </c>
      <c r="AN5" s="33">
        <f>SUMPRODUCT(MAX(($AM$1:$AM$23&lt;AN4)*$AM$1:$AM$23))</f>
        <v>1.9000000000000001E-5</v>
      </c>
      <c r="AO5" s="33">
        <f>IFERROR(MATCH(AN5,$AM$1:$AM$23,0),0)</f>
        <v>19</v>
      </c>
    </row>
    <row r="6" spans="1:41" ht="24.75" customHeight="1" x14ac:dyDescent="0.25">
      <c r="A6" s="5"/>
      <c r="B6" s="3"/>
      <c r="C6" s="3"/>
      <c r="D6" s="3"/>
      <c r="E6" s="6"/>
      <c r="F6" s="4"/>
      <c r="K6" s="40" t="s">
        <v>21</v>
      </c>
      <c r="L6" s="41"/>
      <c r="M6" s="42">
        <f>SUM(M3:M5)</f>
        <v>6000000</v>
      </c>
      <c r="N6" s="42">
        <f>SUM(N3:N5)</f>
        <v>0</v>
      </c>
      <c r="O6" s="42">
        <f ca="1">SUM(O3:O5)</f>
        <v>0</v>
      </c>
      <c r="P6" s="41"/>
      <c r="Q6" s="33"/>
      <c r="R6" s="36">
        <v>4</v>
      </c>
      <c r="S6" s="38">
        <f>IF($AE$9=0,"",INDEX(MarTable[Tanggal],$AE$9))</f>
        <v>0</v>
      </c>
      <c r="T6" s="35">
        <f>IF($AE$9=0,"",INDEX(MarTable[Kategori],$AE$9))</f>
        <v>0</v>
      </c>
      <c r="U6" s="37">
        <f>IF($AE$9=0,"",INDEX(MarTable[Jumlah (Rp)],$AE$9))</f>
        <v>0</v>
      </c>
      <c r="V6" s="35">
        <f>IF($AE$9=0,"",INDEX(MarTable[Keterangan],$AE$9))</f>
        <v>0</v>
      </c>
      <c r="AD6" s="33">
        <f>SUMPRODUCT(MAX((MarTable[Tipe]="Pengeluaran")*(MarTable[Jumlah (Rp)]+ROW(MarTable[Jumlah (Rp)])/1000000)))</f>
        <v>0</v>
      </c>
      <c r="AE6" s="33">
        <f>IFERROR(SUMPRODUCT(MATCH(AD6,(MarTable[Tipe]="Pengeluaran")*(MarTable[Jumlah (Rp)]+ROW(MarTable[Jumlah (Rp)])/1000000),0)),0)</f>
        <v>1</v>
      </c>
      <c r="AF6" s="33">
        <v>5</v>
      </c>
      <c r="AG6" s="33">
        <f t="shared" si="1"/>
        <v>46086</v>
      </c>
      <c r="AH6" s="33">
        <f ca="1">IF(OR(AF6&gt;$AD$4,AF6&gt;$AD$3),NA(),SUMIFS(MarTable[Jumlah (Rp)],MarTable[Tipe],"Pengeluaran",MarTable[Tanggal],"&lt;="&amp;AG6))</f>
        <v>0</v>
      </c>
      <c r="AI6" s="33">
        <f>IF(AF6&gt;$AD$4,NA(),Rekap!$B$19/$AD$4*AF6)</f>
        <v>38266.129032258061</v>
      </c>
      <c r="AJ6" s="33" t="str">
        <f>Master!$A$10</f>
        <v>Kategori Uji 06</v>
      </c>
      <c r="AK6" s="33">
        <f>SUMIFS(MarTable[Jumlah (Rp)],MarTable[Tipe],"Pengeluaran",MarTable[Kategori],AJ6)</f>
        <v>0</v>
      </c>
      <c r="AL6" s="33">
        <f>SUMIFS(FebTable[Jumlah (Rp)],FebTable[Tipe],"Pengeluaran",FebTable[Kategori],AJ6)</f>
        <v>0</v>
      </c>
      <c r="AM6" s="33">
        <f t="shared" si="0"/>
        <v>6.0000000000000002E-6</v>
      </c>
      <c r="AN6" s="33"/>
      <c r="AO6" s="33"/>
    </row>
    <row r="7" spans="1:41" ht="24.75" customHeight="1" x14ac:dyDescent="0.25">
      <c r="A7" s="5"/>
      <c r="B7" s="3"/>
      <c r="C7" s="3"/>
      <c r="D7" s="3"/>
      <c r="E7" s="6"/>
      <c r="F7" s="4"/>
      <c r="K7" s="33"/>
      <c r="L7" s="33"/>
      <c r="M7" s="33"/>
      <c r="N7" s="33"/>
      <c r="O7" s="33"/>
      <c r="P7" s="33"/>
      <c r="Q7" s="33"/>
      <c r="R7" s="36">
        <v>5</v>
      </c>
      <c r="S7" s="38">
        <f>IF($AE$10=0,"",INDEX(MarTable[Tanggal],$AE$10))</f>
        <v>0</v>
      </c>
      <c r="T7" s="35">
        <f>IF($AE$10=0,"",INDEX(MarTable[Kategori],$AE$10))</f>
        <v>0</v>
      </c>
      <c r="U7" s="37">
        <f>IF($AE$10=0,"",INDEX(MarTable[Jumlah (Rp)],$AE$10))</f>
        <v>0</v>
      </c>
      <c r="V7" s="35">
        <f>IF($AE$10=0,"",INDEX(MarTable[Keterangan],$AE$10))</f>
        <v>0</v>
      </c>
      <c r="AD7" s="33">
        <f>SUMPRODUCT(MAX((MarTable[Tipe]="Pengeluaran")*((MarTable[Jumlah (Rp)]+ROW(MarTable[Jumlah (Rp)])/1000000)&lt;AD6)*(MarTable[Jumlah (Rp)]+ROW(MarTable[Jumlah (Rp)])/1000000)))</f>
        <v>0</v>
      </c>
      <c r="AE7" s="33">
        <f>IFERROR(SUMPRODUCT(MATCH(AD7,(MarTable[Tipe]="Pengeluaran")*(MarTable[Jumlah (Rp)]+ROW(MarTable[Jumlah (Rp)])/1000000),0)),0)</f>
        <v>1</v>
      </c>
      <c r="AF7" s="33">
        <v>6</v>
      </c>
      <c r="AG7" s="33">
        <f t="shared" si="1"/>
        <v>46087</v>
      </c>
      <c r="AH7" s="33">
        <f ca="1">IF(OR(AF7&gt;$AD$4,AF7&gt;$AD$3),NA(),SUMIFS(MarTable[Jumlah (Rp)],MarTable[Tipe],"Pengeluaran",MarTable[Tanggal],"&lt;="&amp;AG7))</f>
        <v>0</v>
      </c>
      <c r="AI7" s="33">
        <f>IF(AF7&gt;$AD$4,NA(),Rekap!$B$19/$AD$4*AF7)</f>
        <v>45919.354838709674</v>
      </c>
      <c r="AJ7" s="33" t="str">
        <f>Master!$A$11</f>
        <v>Kategori Uji 07</v>
      </c>
      <c r="AK7" s="33">
        <f>SUMIFS(MarTable[Jumlah (Rp)],MarTable[Tipe],"Pengeluaran",MarTable[Kategori],AJ7)</f>
        <v>0</v>
      </c>
      <c r="AL7" s="33">
        <f>SUMIFS(FebTable[Jumlah (Rp)],FebTable[Tipe],"Pengeluaran",FebTable[Kategori],AJ7)</f>
        <v>0</v>
      </c>
      <c r="AM7" s="33">
        <f t="shared" si="0"/>
        <v>6.9999999999999999E-6</v>
      </c>
      <c r="AN7" s="33"/>
      <c r="AO7" s="33"/>
    </row>
    <row r="8" spans="1:41" ht="24.75" customHeight="1" x14ac:dyDescent="0.25">
      <c r="A8" s="5"/>
      <c r="B8" s="3"/>
      <c r="C8" s="3"/>
      <c r="D8" s="3"/>
      <c r="E8" s="6"/>
      <c r="F8" s="4"/>
      <c r="K8" s="43" t="s">
        <v>68</v>
      </c>
      <c r="L8" s="33"/>
      <c r="M8" s="33"/>
      <c r="N8" s="33"/>
      <c r="O8" s="33"/>
      <c r="P8" s="33"/>
      <c r="Q8" s="33"/>
      <c r="R8" s="52" t="s">
        <v>69</v>
      </c>
      <c r="S8" s="55"/>
      <c r="T8" s="55"/>
      <c r="U8" s="42">
        <f>SUM(U3:U7)</f>
        <v>0</v>
      </c>
      <c r="V8" s="44">
        <f>IFERROR(U8/$D$3,0)</f>
        <v>0</v>
      </c>
      <c r="AD8" s="33">
        <f>SUMPRODUCT(MAX((MarTable[Tipe]="Pengeluaran")*((MarTable[Jumlah (Rp)]+ROW(MarTable[Jumlah (Rp)])/1000000)&lt;AD7)*(MarTable[Jumlah (Rp)]+ROW(MarTable[Jumlah (Rp)])/1000000)))</f>
        <v>0</v>
      </c>
      <c r="AE8" s="33">
        <f>IFERROR(SUMPRODUCT(MATCH(AD8,(MarTable[Tipe]="Pengeluaran")*(MarTable[Jumlah (Rp)]+ROW(MarTable[Jumlah (Rp)])/1000000),0)),0)</f>
        <v>1</v>
      </c>
      <c r="AF8" s="33">
        <v>7</v>
      </c>
      <c r="AG8" s="33">
        <f t="shared" si="1"/>
        <v>46088</v>
      </c>
      <c r="AH8" s="33">
        <f ca="1">IF(OR(AF8&gt;$AD$4,AF8&gt;$AD$3),NA(),SUMIFS(MarTable[Jumlah (Rp)],MarTable[Tipe],"Pengeluaran",MarTable[Tanggal],"&lt;="&amp;AG8))</f>
        <v>0</v>
      </c>
      <c r="AI8" s="33">
        <f>IF(AF8&gt;$AD$4,NA(),Rekap!$B$19/$AD$4*AF8)</f>
        <v>53572.580645161288</v>
      </c>
      <c r="AJ8" s="33" t="str">
        <f>Master!$A$12</f>
        <v>Kategori Uji 08</v>
      </c>
      <c r="AK8" s="33">
        <f>SUMIFS(MarTable[Jumlah (Rp)],MarTable[Tipe],"Pengeluaran",MarTable[Kategori],AJ8)</f>
        <v>0</v>
      </c>
      <c r="AL8" s="33">
        <f>SUMIFS(FebTable[Jumlah (Rp)],FebTable[Tipe],"Pengeluaran",FebTable[Kategori],AJ8)</f>
        <v>0</v>
      </c>
      <c r="AM8" s="33">
        <f t="shared" si="0"/>
        <v>7.9999999999999996E-6</v>
      </c>
      <c r="AN8" s="33"/>
      <c r="AO8" s="33"/>
    </row>
    <row r="9" spans="1:41" ht="24.75" customHeight="1" x14ac:dyDescent="0.25">
      <c r="A9" s="5"/>
      <c r="B9" s="3"/>
      <c r="C9" s="3"/>
      <c r="D9" s="3"/>
      <c r="E9" s="6"/>
      <c r="F9" s="4"/>
      <c r="K9" s="56" t="s">
        <v>61</v>
      </c>
      <c r="L9" s="53"/>
      <c r="M9" s="34" t="s">
        <v>70</v>
      </c>
      <c r="N9" s="33"/>
      <c r="O9" s="33"/>
      <c r="P9" s="33"/>
      <c r="Q9" s="33"/>
      <c r="R9" s="33"/>
      <c r="S9" s="33"/>
      <c r="T9" s="33"/>
      <c r="U9" s="33"/>
      <c r="V9" s="33"/>
      <c r="AD9" s="33">
        <f>SUMPRODUCT(MAX((MarTable[Tipe]="Pengeluaran")*((MarTable[Jumlah (Rp)]+ROW(MarTable[Jumlah (Rp)])/1000000)&lt;AD8)*(MarTable[Jumlah (Rp)]+ROW(MarTable[Jumlah (Rp)])/1000000)))</f>
        <v>0</v>
      </c>
      <c r="AE9" s="33">
        <f>IFERROR(SUMPRODUCT(MATCH(AD9,(MarTable[Tipe]="Pengeluaran")*(MarTable[Jumlah (Rp)]+ROW(MarTable[Jumlah (Rp)])/1000000),0)),0)</f>
        <v>1</v>
      </c>
      <c r="AF9" s="33">
        <v>8</v>
      </c>
      <c r="AG9" s="33">
        <f t="shared" si="1"/>
        <v>46089</v>
      </c>
      <c r="AH9" s="33">
        <f ca="1">IF(OR(AF9&gt;$AD$4,AF9&gt;$AD$3),NA(),SUMIFS(MarTable[Jumlah (Rp)],MarTable[Tipe],"Pengeluaran",MarTable[Tanggal],"&lt;="&amp;AG9))</f>
        <v>0</v>
      </c>
      <c r="AI9" s="33">
        <f>IF(AF9&gt;$AD$4,NA(),Rekap!$B$19/$AD$4*AF9)</f>
        <v>61225.806451612902</v>
      </c>
      <c r="AJ9" s="33" t="str">
        <f>Master!$A$13</f>
        <v>Kategori Uji 09</v>
      </c>
      <c r="AK9" s="33">
        <f>SUMIFS(MarTable[Jumlah (Rp)],MarTable[Tipe],"Pengeluaran",MarTable[Kategori],AJ9)</f>
        <v>0</v>
      </c>
      <c r="AL9" s="33">
        <f>SUMIFS(FebTable[Jumlah (Rp)],FebTable[Tipe],"Pengeluaran",FebTable[Kategori],AJ9)</f>
        <v>0</v>
      </c>
      <c r="AM9" s="33">
        <f t="shared" si="0"/>
        <v>9.0000000000000002E-6</v>
      </c>
      <c r="AN9" s="33"/>
      <c r="AO9" s="33"/>
    </row>
    <row r="10" spans="1:41" ht="24.75" customHeight="1" x14ac:dyDescent="0.25">
      <c r="A10" s="5"/>
      <c r="B10" s="3"/>
      <c r="C10" s="3"/>
      <c r="D10" s="3"/>
      <c r="E10" s="6"/>
      <c r="F10" s="4"/>
      <c r="K10" s="54" t="str">
        <f>"Hari kerja "&amp;TEXT($AD$1-1,"mmmm")</f>
        <v>Hari kerja February</v>
      </c>
      <c r="L10" s="53"/>
      <c r="M10" s="45"/>
      <c r="N10" s="33"/>
      <c r="O10" s="33"/>
      <c r="P10" s="33"/>
      <c r="Q10" s="33"/>
      <c r="R10" s="32" t="s">
        <v>71</v>
      </c>
      <c r="S10" s="33"/>
      <c r="T10" s="33"/>
      <c r="U10" s="33"/>
      <c r="V10" s="33"/>
      <c r="AD10" s="33">
        <f>SUMPRODUCT(MAX((MarTable[Tipe]="Pengeluaran")*((MarTable[Jumlah (Rp)]+ROW(MarTable[Jumlah (Rp)])/1000000)&lt;AD9)*(MarTable[Jumlah (Rp)]+ROW(MarTable[Jumlah (Rp)])/1000000)))</f>
        <v>0</v>
      </c>
      <c r="AE10" s="33">
        <f>IFERROR(SUMPRODUCT(MATCH(AD10,(MarTable[Tipe]="Pengeluaran")*(MarTable[Jumlah (Rp)]+ROW(MarTable[Jumlah (Rp)])/1000000),0)),0)</f>
        <v>1</v>
      </c>
      <c r="AF10" s="33">
        <v>9</v>
      </c>
      <c r="AG10" s="33">
        <f t="shared" si="1"/>
        <v>46090</v>
      </c>
      <c r="AH10" s="33">
        <f ca="1">IF(OR(AF10&gt;$AD$4,AF10&gt;$AD$3),NA(),SUMIFS(MarTable[Jumlah (Rp)],MarTable[Tipe],"Pengeluaran",MarTable[Tanggal],"&lt;="&amp;AG10))</f>
        <v>0</v>
      </c>
      <c r="AI10" s="33">
        <f>IF(AF10&gt;$AD$4,NA(),Rekap!$B$19/$AD$4*AF10)</f>
        <v>68879.032258064515</v>
      </c>
      <c r="AJ10" s="33" t="str">
        <f>Master!$A$14</f>
        <v>Kategori Uji 10</v>
      </c>
      <c r="AK10" s="33">
        <f>SUMIFS(MarTable[Jumlah (Rp)],MarTable[Tipe],"Pengeluaran",MarTable[Kategori],AJ10)</f>
        <v>0</v>
      </c>
      <c r="AL10" s="33">
        <f>SUMIFS(FebTable[Jumlah (Rp)],FebTable[Tipe],"Pengeluaran",FebTable[Kategori],AJ10)</f>
        <v>0</v>
      </c>
      <c r="AM10" s="33">
        <f t="shared" si="0"/>
        <v>1.0000000000000001E-5</v>
      </c>
      <c r="AN10" s="33"/>
      <c r="AO10" s="33"/>
    </row>
    <row r="11" spans="1:41" ht="24.75" customHeight="1" x14ac:dyDescent="0.25">
      <c r="A11" s="5"/>
      <c r="B11" s="3"/>
      <c r="C11" s="3"/>
      <c r="D11" s="3"/>
      <c r="E11" s="6"/>
      <c r="F11" s="4"/>
      <c r="K11" s="54" t="s">
        <v>72</v>
      </c>
      <c r="L11" s="53"/>
      <c r="M11" s="39">
        <v>50000</v>
      </c>
      <c r="N11" s="33"/>
      <c r="O11" s="33"/>
      <c r="P11" s="33"/>
      <c r="Q11" s="33"/>
      <c r="R11" s="34" t="s">
        <v>84</v>
      </c>
      <c r="S11" s="34" t="s">
        <v>27</v>
      </c>
      <c r="T11" s="34" t="s">
        <v>28</v>
      </c>
      <c r="U11" s="34" t="s">
        <v>5</v>
      </c>
      <c r="V11" s="34" t="s">
        <v>95</v>
      </c>
      <c r="AD11" s="33"/>
      <c r="AE11" s="33"/>
      <c r="AF11" s="33">
        <v>10</v>
      </c>
      <c r="AG11" s="33">
        <f t="shared" si="1"/>
        <v>46091</v>
      </c>
      <c r="AH11" s="33">
        <f ca="1">IF(OR(AF11&gt;$AD$4,AF11&gt;$AD$3),NA(),SUMIFS(MarTable[Jumlah (Rp)],MarTable[Tipe],"Pengeluaran",MarTable[Tanggal],"&lt;="&amp;AG11))</f>
        <v>0</v>
      </c>
      <c r="AI11" s="33">
        <f>IF(AF11&gt;$AD$4,NA(),Rekap!$B$19/$AD$4*AF11)</f>
        <v>76532.258064516122</v>
      </c>
      <c r="AJ11" s="33" t="str">
        <f>Master!$A$15</f>
        <v>Kategori Uji 11</v>
      </c>
      <c r="AK11" s="33">
        <f>SUMIFS(MarTable[Jumlah (Rp)],MarTable[Tipe],"Pengeluaran",MarTable[Kategori],AJ11)</f>
        <v>0</v>
      </c>
      <c r="AL11" s="33">
        <f>SUMIFS(FebTable[Jumlah (Rp)],FebTable[Tipe],"Pengeluaran",FebTable[Kategori],AJ11)</f>
        <v>0</v>
      </c>
      <c r="AM11" s="33">
        <f t="shared" si="0"/>
        <v>1.1E-5</v>
      </c>
      <c r="AN11" s="33"/>
      <c r="AO11" s="33"/>
    </row>
    <row r="12" spans="1:41" ht="24.75" customHeight="1" x14ac:dyDescent="0.25">
      <c r="A12" s="5"/>
      <c r="B12" s="3"/>
      <c r="C12" s="3"/>
      <c r="D12" s="3"/>
      <c r="E12" s="6"/>
      <c r="F12" s="4"/>
      <c r="H12" s="9" t="s">
        <v>65</v>
      </c>
      <c r="I12" t="s">
        <v>118</v>
      </c>
      <c r="K12" s="33"/>
      <c r="L12" s="33"/>
      <c r="M12" s="33"/>
      <c r="N12" s="33"/>
      <c r="O12" s="33"/>
      <c r="P12" s="33"/>
      <c r="Q12" s="33"/>
      <c r="R12" s="35" t="s">
        <v>3</v>
      </c>
      <c r="S12" s="37">
        <f>SUMIFS(FebTable[Jumlah (Rp)],FebTable[Tipe],"Pemasukan")</f>
        <v>1000000</v>
      </c>
      <c r="T12" s="37">
        <f>SUMIFS(MarTable[Jumlah (Rp)],MarTable[Tipe],"Pemasukan")</f>
        <v>0</v>
      </c>
      <c r="U12" s="37">
        <f>T12-S12</f>
        <v>-1000000</v>
      </c>
      <c r="V12" s="48">
        <f>IFERROR(U12/S12,"")</f>
        <v>-1</v>
      </c>
      <c r="AD12" s="33"/>
      <c r="AE12" s="33"/>
      <c r="AF12" s="33">
        <v>11</v>
      </c>
      <c r="AG12" s="33">
        <f t="shared" si="1"/>
        <v>46092</v>
      </c>
      <c r="AH12" s="33">
        <f ca="1">IF(OR(AF12&gt;$AD$4,AF12&gt;$AD$3),NA(),SUMIFS(MarTable[Jumlah (Rp)],MarTable[Tipe],"Pengeluaran",MarTable[Tanggal],"&lt;="&amp;AG12))</f>
        <v>0</v>
      </c>
      <c r="AI12" s="33">
        <f>IF(AF12&gt;$AD$4,NA(),Rekap!$B$19/$AD$4*AF12)</f>
        <v>84185.483870967742</v>
      </c>
      <c r="AJ12" s="33" t="str">
        <f>Master!$A$16</f>
        <v>Kategori Uji 12</v>
      </c>
      <c r="AK12" s="33">
        <f>SUMIFS(MarTable[Jumlah (Rp)],MarTable[Tipe],"Pengeluaran",MarTable[Kategori],AJ12)</f>
        <v>0</v>
      </c>
      <c r="AL12" s="33">
        <f>SUMIFS(FebTable[Jumlah (Rp)],FebTable[Tipe],"Pengeluaran",FebTable[Kategori],AJ12)</f>
        <v>0</v>
      </c>
      <c r="AM12" s="33">
        <f t="shared" si="0"/>
        <v>1.2E-5</v>
      </c>
      <c r="AN12" s="33"/>
      <c r="AO12" s="33"/>
    </row>
    <row r="13" spans="1:41" ht="24.75" customHeight="1" x14ac:dyDescent="0.25">
      <c r="A13" s="5"/>
      <c r="B13" s="3"/>
      <c r="C13" s="3"/>
      <c r="D13" s="3"/>
      <c r="E13" s="6"/>
      <c r="F13" s="4"/>
      <c r="H13" s="57" t="s">
        <v>74</v>
      </c>
      <c r="I13" s="58"/>
      <c r="K13" s="43" t="s">
        <v>75</v>
      </c>
      <c r="L13" s="33"/>
      <c r="M13" s="33"/>
      <c r="N13" s="33"/>
      <c r="O13" s="33"/>
      <c r="P13" s="33"/>
      <c r="Q13" s="33"/>
      <c r="R13" s="35" t="s">
        <v>4</v>
      </c>
      <c r="S13" s="37">
        <f>SUMIFS(FebTable[Jumlah (Rp)],FebTable[Tipe],"Pengeluaran")</f>
        <v>250000</v>
      </c>
      <c r="T13" s="37">
        <f>SUMIFS(MarTable[Jumlah (Rp)],MarTable[Tipe],"Pengeluaran")</f>
        <v>0</v>
      </c>
      <c r="U13" s="37">
        <f>T13-S13</f>
        <v>-250000</v>
      </c>
      <c r="V13" s="48">
        <f>IFERROR(U13/S13,"")</f>
        <v>-1</v>
      </c>
      <c r="AD13" s="33"/>
      <c r="AE13" s="33"/>
      <c r="AF13" s="33">
        <v>12</v>
      </c>
      <c r="AG13" s="33">
        <f t="shared" si="1"/>
        <v>46093</v>
      </c>
      <c r="AH13" s="33">
        <f ca="1">IF(OR(AF13&gt;$AD$4,AF13&gt;$AD$3),NA(),SUMIFS(MarTable[Jumlah (Rp)],MarTable[Tipe],"Pengeluaran",MarTable[Tanggal],"&lt;="&amp;AG13))</f>
        <v>0</v>
      </c>
      <c r="AI13" s="33">
        <f>IF(AF13&gt;$AD$4,NA(),Rekap!$B$19/$AD$4*AF13)</f>
        <v>91838.709677419349</v>
      </c>
      <c r="AJ13" s="33" t="str">
        <f>Master!$A$17</f>
        <v>Kategori Uji 13</v>
      </c>
      <c r="AK13" s="33">
        <f>SUMIFS(MarTable[Jumlah (Rp)],MarTable[Tipe],"Pengeluaran",MarTable[Kategori],AJ13)</f>
        <v>0</v>
      </c>
      <c r="AL13" s="33">
        <f>SUMIFS(FebTable[Jumlah (Rp)],FebTable[Tipe],"Pengeluaran",FebTable[Kategori],AJ13)</f>
        <v>0</v>
      </c>
      <c r="AM13" s="33">
        <f t="shared" si="0"/>
        <v>1.2999999999999999E-5</v>
      </c>
      <c r="AN13" s="33"/>
      <c r="AO13" s="33"/>
    </row>
    <row r="14" spans="1:41" ht="24.75" customHeight="1" x14ac:dyDescent="0.25">
      <c r="A14" s="5"/>
      <c r="B14" s="3"/>
      <c r="C14" s="3"/>
      <c r="D14" s="3"/>
      <c r="E14" s="6"/>
      <c r="F14" s="4"/>
      <c r="H14" s="9" t="s">
        <v>25</v>
      </c>
      <c r="I14" t="s">
        <v>76</v>
      </c>
      <c r="K14" s="56" t="s">
        <v>61</v>
      </c>
      <c r="L14" s="53"/>
      <c r="M14" s="34" t="s">
        <v>70</v>
      </c>
      <c r="N14" s="33"/>
      <c r="O14" s="33"/>
      <c r="P14" s="33"/>
      <c r="Q14" s="33"/>
      <c r="R14" s="35" t="s">
        <v>96</v>
      </c>
      <c r="S14" s="47">
        <f>COUNTA(FebTable[Tanggal])</f>
        <v>2</v>
      </c>
      <c r="T14" s="47">
        <f>COUNTA(MarTable[Tanggal])</f>
        <v>0</v>
      </c>
      <c r="U14" s="47">
        <f>T14-S14</f>
        <v>-2</v>
      </c>
      <c r="V14" s="48">
        <f>IFERROR(U14/S14,"")</f>
        <v>-1</v>
      </c>
      <c r="AD14" s="33"/>
      <c r="AE14" s="33"/>
      <c r="AF14" s="33">
        <v>13</v>
      </c>
      <c r="AG14" s="33">
        <f t="shared" si="1"/>
        <v>46094</v>
      </c>
      <c r="AH14" s="33">
        <f ca="1">IF(OR(AF14&gt;$AD$4,AF14&gt;$AD$3),NA(),SUMIFS(MarTable[Jumlah (Rp)],MarTable[Tipe],"Pengeluaran",MarTable[Tanggal],"&lt;="&amp;AG14))</f>
        <v>0</v>
      </c>
      <c r="AI14" s="33">
        <f>IF(AF14&gt;$AD$4,NA(),Rekap!$B$19/$AD$4*AF14)</f>
        <v>99491.93548387097</v>
      </c>
      <c r="AJ14" s="33" t="str">
        <f>Master!$A$18</f>
        <v>Kategori Uji 14</v>
      </c>
      <c r="AK14" s="33">
        <f>SUMIFS(MarTable[Jumlah (Rp)],MarTable[Tipe],"Pengeluaran",MarTable[Kategori],AJ14)</f>
        <v>0</v>
      </c>
      <c r="AL14" s="33">
        <f>SUMIFS(FebTable[Jumlah (Rp)],FebTable[Tipe],"Pengeluaran",FebTable[Kategori],AJ14)</f>
        <v>0</v>
      </c>
      <c r="AM14" s="33">
        <f t="shared" si="0"/>
        <v>1.4E-5</v>
      </c>
      <c r="AN14" s="33"/>
      <c r="AO14" s="33"/>
    </row>
    <row r="15" spans="1:41" ht="24.75" customHeight="1" x14ac:dyDescent="0.25">
      <c r="A15" s="5"/>
      <c r="B15" s="3"/>
      <c r="C15" s="3"/>
      <c r="D15" s="3"/>
      <c r="E15" s="6"/>
      <c r="F15" s="4"/>
      <c r="H15" s="10" t="s">
        <v>119</v>
      </c>
      <c r="I15" s="7"/>
      <c r="K15" s="54" t="s">
        <v>77</v>
      </c>
      <c r="L15" s="53"/>
      <c r="M15" s="37">
        <f>D2</f>
        <v>0</v>
      </c>
      <c r="N15" s="33"/>
      <c r="O15" s="33"/>
      <c r="P15" s="33"/>
      <c r="Q15" s="33"/>
      <c r="R15" s="35" t="s">
        <v>97</v>
      </c>
      <c r="S15" s="37">
        <f>IFERROR(S13/S14,0)</f>
        <v>125000</v>
      </c>
      <c r="T15" s="37">
        <f>IFERROR(T13/T14,0)</f>
        <v>0</v>
      </c>
      <c r="U15" s="37">
        <f>T15-S15</f>
        <v>-125000</v>
      </c>
      <c r="V15" s="48">
        <f>IFERROR(U15/S15,"")</f>
        <v>-1</v>
      </c>
      <c r="AD15" s="33"/>
      <c r="AE15" s="33"/>
      <c r="AF15" s="33">
        <v>14</v>
      </c>
      <c r="AG15" s="33">
        <f t="shared" si="1"/>
        <v>46095</v>
      </c>
      <c r="AH15" s="33">
        <f ca="1">IF(OR(AF15&gt;$AD$4,AF15&gt;$AD$3),NA(),SUMIFS(MarTable[Jumlah (Rp)],MarTable[Tipe],"Pengeluaran",MarTable[Tanggal],"&lt;="&amp;AG15))</f>
        <v>0</v>
      </c>
      <c r="AI15" s="33">
        <f>IF(AF15&gt;$AD$4,NA(),Rekap!$B$19/$AD$4*AF15)</f>
        <v>107145.16129032258</v>
      </c>
      <c r="AJ15" s="33" t="str">
        <f>Master!$A$19</f>
        <v>Kategori Uji 15</v>
      </c>
      <c r="AK15" s="33">
        <f>SUMIFS(MarTable[Jumlah (Rp)],MarTable[Tipe],"Pengeluaran",MarTable[Kategori],AJ15)</f>
        <v>0</v>
      </c>
      <c r="AL15" s="33">
        <f>SUMIFS(FebTable[Jumlah (Rp)],FebTable[Tipe],"Pengeluaran",FebTable[Kategori],AJ15)</f>
        <v>0</v>
      </c>
      <c r="AM15" s="33">
        <f t="shared" si="0"/>
        <v>1.5E-5</v>
      </c>
      <c r="AN15" s="33"/>
      <c r="AO15" s="33"/>
    </row>
    <row r="16" spans="1:41" ht="24.75" customHeight="1" x14ac:dyDescent="0.25">
      <c r="A16" s="5"/>
      <c r="B16" s="3"/>
      <c r="C16" s="3"/>
      <c r="D16" s="3"/>
      <c r="E16" s="6"/>
      <c r="F16" s="4"/>
      <c r="H16" s="10" t="s">
        <v>92</v>
      </c>
      <c r="I16" s="7"/>
      <c r="K16" s="54" t="s">
        <v>57</v>
      </c>
      <c r="L16" s="53"/>
      <c r="M16" s="37">
        <f ca="1">O6</f>
        <v>0</v>
      </c>
      <c r="N16" s="33"/>
      <c r="O16" s="33"/>
      <c r="P16" s="33"/>
      <c r="Q16" s="33"/>
      <c r="R16" s="33"/>
      <c r="S16" s="33"/>
      <c r="T16" s="33"/>
      <c r="U16" s="33"/>
      <c r="V16" s="33"/>
      <c r="AD16" s="33"/>
      <c r="AE16" s="33"/>
      <c r="AF16" s="33">
        <v>15</v>
      </c>
      <c r="AG16" s="33">
        <f t="shared" si="1"/>
        <v>46096</v>
      </c>
      <c r="AH16" s="33">
        <f ca="1">IF(OR(AF16&gt;$AD$4,AF16&gt;$AD$3),NA(),SUMIFS(MarTable[Jumlah (Rp)],MarTable[Tipe],"Pengeluaran",MarTable[Tanggal],"&lt;="&amp;AG16))</f>
        <v>0</v>
      </c>
      <c r="AI16" s="33">
        <f>IF(AF16&gt;$AD$4,NA(),Rekap!$B$19/$AD$4*AF16)</f>
        <v>114798.3870967742</v>
      </c>
      <c r="AJ16" s="33" t="str">
        <f>Master!$A$20</f>
        <v>Kategori Uji 16</v>
      </c>
      <c r="AK16" s="33">
        <f>SUMIFS(MarTable[Jumlah (Rp)],MarTable[Tipe],"Pengeluaran",MarTable[Kategori],AJ16)</f>
        <v>0</v>
      </c>
      <c r="AL16" s="33">
        <f>SUMIFS(FebTable[Jumlah (Rp)],FebTable[Tipe],"Pengeluaran",FebTable[Kategori],AJ16)</f>
        <v>0</v>
      </c>
      <c r="AM16" s="33">
        <f t="shared" si="0"/>
        <v>1.5999999999999999E-5</v>
      </c>
      <c r="AN16" s="33"/>
      <c r="AO16" s="33"/>
    </row>
    <row r="17" spans="1:41" ht="24.75" customHeight="1" x14ac:dyDescent="0.25">
      <c r="A17" s="5"/>
      <c r="B17" s="3"/>
      <c r="C17" s="3"/>
      <c r="D17" s="3"/>
      <c r="E17" s="6"/>
      <c r="F17" s="4"/>
      <c r="K17" s="54" t="s">
        <v>78</v>
      </c>
      <c r="L17" s="53"/>
      <c r="M17" s="37">
        <f ca="1">M15+M16</f>
        <v>0</v>
      </c>
      <c r="N17" s="33"/>
      <c r="O17" s="33"/>
      <c r="P17" s="33"/>
      <c r="Q17" s="33"/>
      <c r="R17" s="43" t="s">
        <v>98</v>
      </c>
      <c r="S17" s="33"/>
      <c r="T17" s="33"/>
      <c r="U17" s="33"/>
      <c r="V17" s="33"/>
      <c r="AD17" s="33"/>
      <c r="AE17" s="33"/>
      <c r="AF17" s="33">
        <v>16</v>
      </c>
      <c r="AG17" s="33">
        <f t="shared" si="1"/>
        <v>46097</v>
      </c>
      <c r="AH17" s="33">
        <f ca="1">IF(OR(AF17&gt;$AD$4,AF17&gt;$AD$3),NA(),SUMIFS(MarTable[Jumlah (Rp)],MarTable[Tipe],"Pengeluaran",MarTable[Tanggal],"&lt;="&amp;AG17))</f>
        <v>0</v>
      </c>
      <c r="AI17" s="33">
        <f>IF(AF17&gt;$AD$4,NA(),Rekap!$B$19/$AD$4*AF17)</f>
        <v>122451.6129032258</v>
      </c>
      <c r="AJ17" s="33" t="str">
        <f>Master!$A$21</f>
        <v>Kategori Uji 17</v>
      </c>
      <c r="AK17" s="33">
        <f>SUMIFS(MarTable[Jumlah (Rp)],MarTable[Tipe],"Pengeluaran",MarTable[Kategori],AJ17)</f>
        <v>0</v>
      </c>
      <c r="AL17" s="33">
        <f>SUMIFS(FebTable[Jumlah (Rp)],FebTable[Tipe],"Pengeluaran",FebTable[Kategori],AJ17)</f>
        <v>0</v>
      </c>
      <c r="AM17" s="33">
        <f t="shared" si="0"/>
        <v>1.7E-5</v>
      </c>
      <c r="AN17" s="33"/>
      <c r="AO17" s="33"/>
    </row>
    <row r="18" spans="1:41" ht="24.75" customHeight="1" x14ac:dyDescent="0.25">
      <c r="A18" s="5"/>
      <c r="B18" s="3"/>
      <c r="C18" s="3"/>
      <c r="D18" s="3"/>
      <c r="E18" s="6"/>
      <c r="F18" s="4"/>
      <c r="K18" s="54" t="s">
        <v>79</v>
      </c>
      <c r="L18" s="53"/>
      <c r="M18" s="37">
        <f ca="1">M29</f>
        <v>0</v>
      </c>
      <c r="N18" s="33"/>
      <c r="O18" s="33"/>
      <c r="P18" s="33"/>
      <c r="Q18" s="33"/>
      <c r="R18" s="34" t="s">
        <v>25</v>
      </c>
      <c r="S18" s="34" t="s">
        <v>27</v>
      </c>
      <c r="T18" s="34" t="s">
        <v>28</v>
      </c>
      <c r="U18" s="34" t="s">
        <v>5</v>
      </c>
      <c r="V18" s="34" t="s">
        <v>95</v>
      </c>
      <c r="AD18" s="33"/>
      <c r="AE18" s="33"/>
      <c r="AF18" s="33">
        <v>17</v>
      </c>
      <c r="AG18" s="33">
        <f t="shared" si="1"/>
        <v>46098</v>
      </c>
      <c r="AH18" s="33">
        <f ca="1">IF(OR(AF18&gt;$AD$4,AF18&gt;$AD$3),NA(),SUMIFS(MarTable[Jumlah (Rp)],MarTable[Tipe],"Pengeluaran",MarTable[Tanggal],"&lt;="&amp;AG18))</f>
        <v>0</v>
      </c>
      <c r="AI18" s="33">
        <f>IF(AF18&gt;$AD$4,NA(),Rekap!$B$19/$AD$4*AF18)</f>
        <v>130104.83870967741</v>
      </c>
      <c r="AJ18" s="33" t="str">
        <f>Master!$A$22</f>
        <v>Kategori Uji 18</v>
      </c>
      <c r="AK18" s="33">
        <f>SUMIFS(MarTable[Jumlah (Rp)],MarTable[Tipe],"Pengeluaran",MarTable[Kategori],AJ18)</f>
        <v>0</v>
      </c>
      <c r="AL18" s="33">
        <f>SUMIFS(FebTable[Jumlah (Rp)],FebTable[Tipe],"Pengeluaran",FebTable[Kategori],AJ18)</f>
        <v>0</v>
      </c>
      <c r="AM18" s="33">
        <f t="shared" si="0"/>
        <v>1.8E-5</v>
      </c>
      <c r="AN18" s="33"/>
      <c r="AO18" s="33"/>
    </row>
    <row r="19" spans="1:41" ht="24.75" customHeight="1" x14ac:dyDescent="0.25">
      <c r="A19" s="5"/>
      <c r="B19" s="3"/>
      <c r="C19" s="3"/>
      <c r="D19" s="3"/>
      <c r="E19" s="6"/>
      <c r="F19" s="4"/>
      <c r="K19" s="52" t="s">
        <v>80</v>
      </c>
      <c r="L19" s="53"/>
      <c r="M19" s="42">
        <f ca="1">M17-M18</f>
        <v>0</v>
      </c>
      <c r="N19" s="33"/>
      <c r="O19" s="33"/>
      <c r="P19" s="33"/>
      <c r="Q19" s="33"/>
      <c r="R19" s="35" t="str">
        <f>IF($AO$1=0,"",INDEX($AJ$1:$AJ$23,$AO$1))</f>
        <v>Kategori Uji 24</v>
      </c>
      <c r="S19" s="37">
        <f>IF($AO$1=0,"",INDEX($AL$1:$AL$23,$AO$1))</f>
        <v>0</v>
      </c>
      <c r="T19" s="37">
        <f>IF($AO$1=0,"",INDEX($AK$1:$AK$23,$AO$1))</f>
        <v>0</v>
      </c>
      <c r="U19" s="37">
        <f>IF($R19="","",T19-S19)</f>
        <v>0</v>
      </c>
      <c r="V19" s="48" t="str">
        <f>IFERROR(U19/S19,"")</f>
        <v/>
      </c>
      <c r="AD19" s="33"/>
      <c r="AE19" s="33"/>
      <c r="AF19" s="33">
        <v>18</v>
      </c>
      <c r="AG19" s="33">
        <f t="shared" si="1"/>
        <v>46099</v>
      </c>
      <c r="AH19" s="33">
        <f ca="1">IF(OR(AF19&gt;$AD$4,AF19&gt;$AD$3),NA(),SUMIFS(MarTable[Jumlah (Rp)],MarTable[Tipe],"Pengeluaran",MarTable[Tanggal],"&lt;="&amp;AG19))</f>
        <v>0</v>
      </c>
      <c r="AI19" s="33">
        <f>IF(AF19&gt;$AD$4,NA(),Rekap!$B$19/$AD$4*AF19)</f>
        <v>137758.06451612903</v>
      </c>
      <c r="AJ19" s="33" t="str">
        <f>Master!$A$23</f>
        <v>Kategori Uji 19</v>
      </c>
      <c r="AK19" s="33">
        <f>SUMIFS(MarTable[Jumlah (Rp)],MarTable[Tipe],"Pengeluaran",MarTable[Kategori],AJ19)</f>
        <v>0</v>
      </c>
      <c r="AL19" s="33">
        <f>SUMIFS(FebTable[Jumlah (Rp)],FebTable[Tipe],"Pengeluaran",FebTable[Kategori],AJ19)</f>
        <v>0</v>
      </c>
      <c r="AM19" s="33">
        <f t="shared" si="0"/>
        <v>1.9000000000000001E-5</v>
      </c>
      <c r="AN19" s="33"/>
      <c r="AO19" s="33"/>
    </row>
    <row r="20" spans="1:41" ht="24.75" customHeight="1" x14ac:dyDescent="0.25">
      <c r="A20" s="5"/>
      <c r="B20" s="3"/>
      <c r="C20" s="3"/>
      <c r="D20" s="3"/>
      <c r="E20" s="6"/>
      <c r="F20" s="4"/>
      <c r="K20" s="52" t="s">
        <v>81</v>
      </c>
      <c r="L20" s="53"/>
      <c r="M20" s="42">
        <f ca="1">D1+M17-M18</f>
        <v>0</v>
      </c>
      <c r="N20" s="33"/>
      <c r="O20" s="33"/>
      <c r="P20" s="33"/>
      <c r="Q20" s="33"/>
      <c r="R20" s="35" t="str">
        <f>IF($AO$2=0,"",INDEX($AJ$1:$AJ$23,$AO$2))</f>
        <v>Kategori Uji 23</v>
      </c>
      <c r="S20" s="37">
        <f>IF($AO$2=0,"",INDEX($AL$1:$AL$23,$AO$2))</f>
        <v>0</v>
      </c>
      <c r="T20" s="37">
        <f>IF($AO$2=0,"",INDEX($AK$1:$AK$23,$AO$2))</f>
        <v>0</v>
      </c>
      <c r="U20" s="37">
        <f>IF($R20="","",T20-S20)</f>
        <v>0</v>
      </c>
      <c r="V20" s="48" t="str">
        <f>IFERROR(U20/S20,"")</f>
        <v/>
      </c>
      <c r="AD20" s="33"/>
      <c r="AE20" s="33"/>
      <c r="AF20" s="33">
        <v>19</v>
      </c>
      <c r="AG20" s="33">
        <f t="shared" si="1"/>
        <v>46100</v>
      </c>
      <c r="AH20" s="33">
        <f ca="1">IF(OR(AF20&gt;$AD$4,AF20&gt;$AD$3),NA(),SUMIFS(MarTable[Jumlah (Rp)],MarTable[Tipe],"Pengeluaran",MarTable[Tanggal],"&lt;="&amp;AG20))</f>
        <v>0</v>
      </c>
      <c r="AI20" s="33">
        <f>IF(AF20&gt;$AD$4,NA(),Rekap!$B$19/$AD$4*AF20)</f>
        <v>145411.29032258064</v>
      </c>
      <c r="AJ20" s="33" t="str">
        <f>Master!$A$24</f>
        <v>Kategori Uji 20</v>
      </c>
      <c r="AK20" s="33">
        <f>SUMIFS(MarTable[Jumlah (Rp)],MarTable[Tipe],"Pengeluaran",MarTable[Kategori],AJ20)</f>
        <v>0</v>
      </c>
      <c r="AL20" s="33">
        <f>SUMIFS(FebTable[Jumlah (Rp)],FebTable[Tipe],"Pengeluaran",FebTable[Kategori],AJ20)</f>
        <v>0</v>
      </c>
      <c r="AM20" s="33">
        <f t="shared" si="0"/>
        <v>2.0000000000000002E-5</v>
      </c>
      <c r="AN20" s="33"/>
      <c r="AO20" s="33"/>
    </row>
    <row r="21" spans="1:41" ht="24.75" customHeight="1" x14ac:dyDescent="0.25">
      <c r="A21" s="5"/>
      <c r="B21" s="3"/>
      <c r="C21" s="3"/>
      <c r="D21" s="3"/>
      <c r="E21" s="6"/>
      <c r="F21" s="4"/>
      <c r="K21" s="46" t="s">
        <v>82</v>
      </c>
      <c r="L21" s="33"/>
      <c r="M21" s="33"/>
      <c r="N21" s="33"/>
      <c r="O21" s="33"/>
      <c r="P21" s="33"/>
      <c r="Q21" s="33"/>
      <c r="R21" s="35" t="str">
        <f>IF($AO$3=0,"",INDEX($AJ$1:$AJ$23,$AO$3))</f>
        <v>Kategori Uji 21</v>
      </c>
      <c r="S21" s="37">
        <f>IF($AO$3=0,"",INDEX($AL$1:$AL$23,$AO$3))</f>
        <v>0</v>
      </c>
      <c r="T21" s="37">
        <f>IF($AO$3=0,"",INDEX($AK$1:$AK$23,$AO$3))</f>
        <v>0</v>
      </c>
      <c r="U21" s="37">
        <f>IF($R21="","",T21-S21)</f>
        <v>0</v>
      </c>
      <c r="V21" s="48" t="str">
        <f>IFERROR(U21/S21,"")</f>
        <v/>
      </c>
      <c r="AD21" s="33"/>
      <c r="AE21" s="33"/>
      <c r="AF21" s="33">
        <v>20</v>
      </c>
      <c r="AG21" s="33">
        <f t="shared" si="1"/>
        <v>46101</v>
      </c>
      <c r="AH21" s="33">
        <f ca="1">IF(OR(AF21&gt;$AD$4,AF21&gt;$AD$3),NA(),SUMIFS(MarTable[Jumlah (Rp)],MarTable[Tipe],"Pengeluaran",MarTable[Tanggal],"&lt;="&amp;AG21))</f>
        <v>0</v>
      </c>
      <c r="AI21" s="33">
        <f>IF(AF21&gt;$AD$4,NA(),Rekap!$B$19/$AD$4*AF21)</f>
        <v>153064.51612903224</v>
      </c>
      <c r="AJ21" s="33" t="str">
        <f>Master!$A$25</f>
        <v>Kategori Uji 21</v>
      </c>
      <c r="AK21" s="33">
        <f>SUMIFS(MarTable[Jumlah (Rp)],MarTable[Tipe],"Pengeluaran",MarTable[Kategori],AJ21)</f>
        <v>0</v>
      </c>
      <c r="AL21" s="33">
        <f>SUMIFS(FebTable[Jumlah (Rp)],FebTable[Tipe],"Pengeluaran",FebTable[Kategori],AJ21)</f>
        <v>0</v>
      </c>
      <c r="AM21" s="33">
        <f t="shared" si="0"/>
        <v>2.0999999999999999E-5</v>
      </c>
      <c r="AN21" s="33"/>
      <c r="AO21" s="33"/>
    </row>
    <row r="22" spans="1:41" ht="24.75" customHeight="1" x14ac:dyDescent="0.25">
      <c r="A22" s="5"/>
      <c r="B22" s="3"/>
      <c r="C22" s="3"/>
      <c r="D22" s="3"/>
      <c r="E22" s="6"/>
      <c r="F22" s="4"/>
      <c r="K22" s="33"/>
      <c r="L22" s="33"/>
      <c r="M22" s="33"/>
      <c r="N22" s="33"/>
      <c r="O22" s="33"/>
      <c r="P22" s="33"/>
      <c r="Q22" s="33"/>
      <c r="R22" s="35" t="str">
        <f>IF($AO$4=0,"",INDEX($AJ$1:$AJ$23,$AO$4))</f>
        <v>Kategori Uji 20</v>
      </c>
      <c r="S22" s="37">
        <f>IF($AO$4=0,"",INDEX($AL$1:$AL$23,$AO$4))</f>
        <v>0</v>
      </c>
      <c r="T22" s="37">
        <f>IF($AO$4=0,"",INDEX($AK$1:$AK$23,$AO$4))</f>
        <v>0</v>
      </c>
      <c r="U22" s="37">
        <f>IF($R22="","",T22-S22)</f>
        <v>0</v>
      </c>
      <c r="V22" s="48" t="str">
        <f>IFERROR(U22/S22,"")</f>
        <v/>
      </c>
      <c r="AD22" s="33"/>
      <c r="AE22" s="33"/>
      <c r="AF22" s="33">
        <v>21</v>
      </c>
      <c r="AG22" s="33">
        <f t="shared" si="1"/>
        <v>46102</v>
      </c>
      <c r="AH22" s="33">
        <f ca="1">IF(OR(AF22&gt;$AD$4,AF22&gt;$AD$3),NA(),SUMIFS(MarTable[Jumlah (Rp)],MarTable[Tipe],"Pengeluaran",MarTable[Tanggal],"&lt;="&amp;AG22))</f>
        <v>0</v>
      </c>
      <c r="AI22" s="33">
        <f>IF(AF22&gt;$AD$4,NA(),Rekap!$B$19/$AD$4*AF22)</f>
        <v>160717.74193548388</v>
      </c>
      <c r="AJ22" s="33" t="str">
        <f>Master!$A$27</f>
        <v>Kategori Uji 23</v>
      </c>
      <c r="AK22" s="33">
        <f>SUMIFS(MarTable[Jumlah (Rp)],MarTable[Tipe],"Pengeluaran",MarTable[Kategori],AJ22)</f>
        <v>0</v>
      </c>
      <c r="AL22" s="33">
        <f>SUMIFS(FebTable[Jumlah (Rp)],FebTable[Tipe],"Pengeluaran",FebTable[Kategori],AJ22)</f>
        <v>0</v>
      </c>
      <c r="AM22" s="33">
        <f t="shared" si="0"/>
        <v>2.1999999999999999E-5</v>
      </c>
      <c r="AN22" s="33"/>
      <c r="AO22" s="33"/>
    </row>
    <row r="23" spans="1:41" ht="24.75" customHeight="1" x14ac:dyDescent="0.25">
      <c r="A23" s="5"/>
      <c r="B23" s="3"/>
      <c r="C23" s="3"/>
      <c r="D23" s="3"/>
      <c r="E23" s="6"/>
      <c r="F23" s="4"/>
      <c r="K23" s="32" t="s">
        <v>83</v>
      </c>
      <c r="L23" s="33"/>
      <c r="M23" s="33"/>
      <c r="N23" s="33"/>
      <c r="O23" s="33"/>
      <c r="P23" s="33"/>
      <c r="Q23" s="33"/>
      <c r="R23" s="35" t="str">
        <f>IF($AO$5=0,"",INDEX($AJ$1:$AJ$23,$AO$5))</f>
        <v>Kategori Uji 19</v>
      </c>
      <c r="S23" s="37">
        <f>IF($AO$5=0,"",INDEX($AL$1:$AL$23,$AO$5))</f>
        <v>0</v>
      </c>
      <c r="T23" s="37">
        <f>IF($AO$5=0,"",INDEX($AK$1:$AK$23,$AO$5))</f>
        <v>0</v>
      </c>
      <c r="U23" s="37">
        <f>IF($R23="","",T23-S23)</f>
        <v>0</v>
      </c>
      <c r="V23" s="48" t="str">
        <f>IFERROR(U23/S23,"")</f>
        <v/>
      </c>
      <c r="AD23" s="33"/>
      <c r="AE23" s="33"/>
      <c r="AF23" s="33">
        <v>22</v>
      </c>
      <c r="AG23" s="33">
        <f t="shared" si="1"/>
        <v>46103</v>
      </c>
      <c r="AH23" s="33">
        <f ca="1">IF(OR(AF23&gt;$AD$4,AF23&gt;$AD$3),NA(),SUMIFS(MarTable[Jumlah (Rp)],MarTable[Tipe],"Pengeluaran",MarTable[Tanggal],"&lt;="&amp;AG23))</f>
        <v>0</v>
      </c>
      <c r="AI23" s="33">
        <f>IF(AF23&gt;$AD$4,NA(),Rekap!$B$19/$AD$4*AF23)</f>
        <v>168370.96774193548</v>
      </c>
      <c r="AJ23" s="33" t="str">
        <f>Master!$A$28</f>
        <v>Kategori Uji 24</v>
      </c>
      <c r="AK23" s="33">
        <f>SUMIFS(MarTable[Jumlah (Rp)],MarTable[Tipe],"Pengeluaran",MarTable[Kategori],AJ23)</f>
        <v>0</v>
      </c>
      <c r="AL23" s="33">
        <f>SUMIFS(FebTable[Jumlah (Rp)],FebTable[Tipe],"Pengeluaran",FebTable[Kategori],AJ23)</f>
        <v>0</v>
      </c>
      <c r="AM23" s="33">
        <f t="shared" si="0"/>
        <v>2.3E-5</v>
      </c>
      <c r="AN23" s="33"/>
      <c r="AO23" s="33"/>
    </row>
    <row r="24" spans="1:41" ht="24.75" customHeight="1" x14ac:dyDescent="0.25">
      <c r="A24" s="5"/>
      <c r="B24" s="3"/>
      <c r="C24" s="3"/>
      <c r="D24" s="3"/>
      <c r="E24" s="6"/>
      <c r="F24" s="4"/>
      <c r="K24" s="56" t="s">
        <v>84</v>
      </c>
      <c r="L24" s="53"/>
      <c r="M24" s="34" t="s">
        <v>70</v>
      </c>
      <c r="N24" s="33"/>
      <c r="O24" s="33"/>
      <c r="P24" s="33"/>
      <c r="Q24" s="33"/>
      <c r="R24" s="33"/>
      <c r="S24" s="33"/>
      <c r="T24" s="33"/>
      <c r="U24" s="33"/>
      <c r="V24" s="33"/>
      <c r="AD24" s="33"/>
      <c r="AE24" s="33"/>
      <c r="AF24" s="33">
        <v>23</v>
      </c>
      <c r="AG24" s="33">
        <f t="shared" si="1"/>
        <v>46104</v>
      </c>
      <c r="AH24" s="33">
        <f ca="1">IF(OR(AF24&gt;$AD$4,AF24&gt;$AD$3),NA(),SUMIFS(MarTable[Jumlah (Rp)],MarTable[Tipe],"Pengeluaran",MarTable[Tanggal],"&lt;="&amp;AG24))</f>
        <v>0</v>
      </c>
      <c r="AI24" s="33">
        <f>IF(AF24&gt;$AD$4,NA(),Rekap!$B$19/$AD$4*AF24)</f>
        <v>176024.19354838709</v>
      </c>
      <c r="AJ24" s="33"/>
      <c r="AK24" s="33"/>
      <c r="AL24" s="33"/>
      <c r="AM24" s="33"/>
      <c r="AN24" s="33"/>
      <c r="AO24" s="33"/>
    </row>
    <row r="25" spans="1:41" ht="24.75" customHeight="1" x14ac:dyDescent="0.25">
      <c r="A25" s="5"/>
      <c r="B25" s="3"/>
      <c r="C25" s="3"/>
      <c r="D25" s="3"/>
      <c r="E25" s="6"/>
      <c r="F25" s="4"/>
      <c r="K25" s="54" t="s">
        <v>85</v>
      </c>
      <c r="L25" s="53"/>
      <c r="M25" s="47">
        <f ca="1">AD3</f>
        <v>31</v>
      </c>
      <c r="N25" s="33"/>
      <c r="O25" s="33"/>
      <c r="P25" s="33"/>
      <c r="Q25" s="33"/>
      <c r="R25" s="32" t="s">
        <v>86</v>
      </c>
      <c r="S25" s="33"/>
      <c r="T25" s="33"/>
      <c r="U25" s="33"/>
      <c r="V25" s="33"/>
      <c r="AD25" s="33"/>
      <c r="AE25" s="33"/>
      <c r="AF25" s="33">
        <v>24</v>
      </c>
      <c r="AG25" s="33">
        <f t="shared" si="1"/>
        <v>46105</v>
      </c>
      <c r="AH25" s="33">
        <f ca="1">IF(OR(AF25&gt;$AD$4,AF25&gt;$AD$3),NA(),SUMIFS(MarTable[Jumlah (Rp)],MarTable[Tipe],"Pengeluaran",MarTable[Tanggal],"&lt;="&amp;AG25))</f>
        <v>0</v>
      </c>
      <c r="AI25" s="33">
        <f>IF(AF25&gt;$AD$4,NA(),Rekap!$B$19/$AD$4*AF25)</f>
        <v>183677.4193548387</v>
      </c>
      <c r="AJ25" s="33"/>
      <c r="AK25" s="33"/>
      <c r="AL25" s="33"/>
      <c r="AM25" s="33"/>
      <c r="AN25" s="33"/>
      <c r="AO25" s="33"/>
    </row>
    <row r="26" spans="1:41" ht="24.75" customHeight="1" x14ac:dyDescent="0.25">
      <c r="A26" s="5"/>
      <c r="B26" s="3"/>
      <c r="C26" s="3"/>
      <c r="D26" s="3"/>
      <c r="E26" s="6"/>
      <c r="F26" s="4"/>
      <c r="K26" s="54" t="s">
        <v>87</v>
      </c>
      <c r="L26" s="53"/>
      <c r="M26" s="47">
        <f>AD4</f>
        <v>31</v>
      </c>
      <c r="N26" s="33"/>
      <c r="O26" s="33"/>
      <c r="P26" s="33"/>
      <c r="Q26" s="33"/>
      <c r="R26" s="33"/>
      <c r="S26" s="33"/>
      <c r="T26" s="33"/>
      <c r="U26" s="33"/>
      <c r="V26" s="33"/>
      <c r="AD26" s="33"/>
      <c r="AE26" s="33"/>
      <c r="AF26" s="33">
        <v>25</v>
      </c>
      <c r="AG26" s="33">
        <f t="shared" si="1"/>
        <v>46106</v>
      </c>
      <c r="AH26" s="33">
        <f ca="1">IF(OR(AF26&gt;$AD$4,AF26&gt;$AD$3),NA(),SUMIFS(MarTable[Jumlah (Rp)],MarTable[Tipe],"Pengeluaran",MarTable[Tanggal],"&lt;="&amp;AG26))</f>
        <v>0</v>
      </c>
      <c r="AI26" s="33">
        <f>IF(AF26&gt;$AD$4,NA(),Rekap!$B$19/$AD$4*AF26)</f>
        <v>191330.6451612903</v>
      </c>
      <c r="AJ26" s="33"/>
      <c r="AK26" s="33"/>
      <c r="AL26" s="33"/>
      <c r="AM26" s="33"/>
      <c r="AN26" s="33"/>
      <c r="AO26" s="33"/>
    </row>
    <row r="27" spans="1:41" ht="24.75" customHeight="1" x14ac:dyDescent="0.25">
      <c r="A27" s="5"/>
      <c r="B27" s="3"/>
      <c r="C27" s="3"/>
      <c r="D27" s="3"/>
      <c r="E27" s="6"/>
      <c r="F27" s="4"/>
      <c r="K27" s="54" t="s">
        <v>88</v>
      </c>
      <c r="L27" s="53"/>
      <c r="M27" s="37">
        <f>D3</f>
        <v>0</v>
      </c>
      <c r="N27" s="33"/>
      <c r="O27" s="33"/>
      <c r="P27" s="33"/>
      <c r="Q27" s="33"/>
      <c r="R27" s="33"/>
      <c r="S27" s="33"/>
      <c r="T27" s="33"/>
      <c r="U27" s="33"/>
      <c r="V27" s="33"/>
      <c r="AD27" s="33"/>
      <c r="AE27" s="33"/>
      <c r="AF27" s="33">
        <v>26</v>
      </c>
      <c r="AG27" s="33">
        <f t="shared" si="1"/>
        <v>46107</v>
      </c>
      <c r="AH27" s="33">
        <f ca="1">IF(OR(AF27&gt;$AD$4,AF27&gt;$AD$3),NA(),SUMIFS(MarTable[Jumlah (Rp)],MarTable[Tipe],"Pengeluaran",MarTable[Tanggal],"&lt;="&amp;AG27))</f>
        <v>0</v>
      </c>
      <c r="AI27" s="33">
        <f>IF(AF27&gt;$AD$4,NA(),Rekap!$B$19/$AD$4*AF27)</f>
        <v>198983.87096774194</v>
      </c>
      <c r="AJ27" s="33"/>
      <c r="AK27" s="33"/>
      <c r="AL27" s="33"/>
      <c r="AM27" s="33"/>
      <c r="AN27" s="33"/>
      <c r="AO27" s="33"/>
    </row>
    <row r="28" spans="1:41" ht="24.75" customHeight="1" x14ac:dyDescent="0.25">
      <c r="A28" s="5"/>
      <c r="B28" s="3"/>
      <c r="C28" s="3"/>
      <c r="D28" s="3"/>
      <c r="E28" s="6"/>
      <c r="F28" s="4"/>
      <c r="K28" s="54" t="s">
        <v>89</v>
      </c>
      <c r="L28" s="53"/>
      <c r="M28" s="37">
        <f ca="1">IFERROR(M27/M25,0)</f>
        <v>0</v>
      </c>
      <c r="N28" s="33"/>
      <c r="O28" s="33"/>
      <c r="P28" s="33"/>
      <c r="Q28" s="33"/>
      <c r="R28" s="33"/>
      <c r="S28" s="33"/>
      <c r="T28" s="33"/>
      <c r="U28" s="33"/>
      <c r="V28" s="33"/>
      <c r="AD28" s="33"/>
      <c r="AE28" s="33"/>
      <c r="AF28" s="33">
        <v>27</v>
      </c>
      <c r="AG28" s="33">
        <f t="shared" si="1"/>
        <v>46108</v>
      </c>
      <c r="AH28" s="33">
        <f ca="1">IF(OR(AF28&gt;$AD$4,AF28&gt;$AD$3),NA(),SUMIFS(MarTable[Jumlah (Rp)],MarTable[Tipe],"Pengeluaran",MarTable[Tanggal],"&lt;="&amp;AG28))</f>
        <v>0</v>
      </c>
      <c r="AI28" s="33">
        <f>IF(AF28&gt;$AD$4,NA(),Rekap!$B$19/$AD$4*AF28)</f>
        <v>206637.09677419355</v>
      </c>
      <c r="AJ28" s="33"/>
      <c r="AK28" s="33"/>
      <c r="AL28" s="33"/>
      <c r="AM28" s="33"/>
      <c r="AN28" s="33"/>
      <c r="AO28" s="33"/>
    </row>
    <row r="29" spans="1:41" ht="24.75" customHeight="1" x14ac:dyDescent="0.25">
      <c r="A29" s="5"/>
      <c r="B29" s="3"/>
      <c r="C29" s="3"/>
      <c r="D29" s="3"/>
      <c r="E29" s="6"/>
      <c r="F29" s="4"/>
      <c r="K29" s="52" t="s">
        <v>90</v>
      </c>
      <c r="L29" s="53"/>
      <c r="M29" s="42">
        <f ca="1">M28*M26</f>
        <v>0</v>
      </c>
      <c r="N29" s="33"/>
      <c r="O29" s="33"/>
      <c r="P29" s="33"/>
      <c r="Q29" s="33"/>
      <c r="R29" s="33"/>
      <c r="S29" s="33"/>
      <c r="T29" s="33"/>
      <c r="U29" s="33"/>
      <c r="V29" s="33"/>
      <c r="AD29" s="33"/>
      <c r="AE29" s="33"/>
      <c r="AF29" s="33">
        <v>28</v>
      </c>
      <c r="AG29" s="33">
        <f t="shared" si="1"/>
        <v>46109</v>
      </c>
      <c r="AH29" s="33">
        <f ca="1">IF(OR(AF29&gt;$AD$4,AF29&gt;$AD$3),NA(),SUMIFS(MarTable[Jumlah (Rp)],MarTable[Tipe],"Pengeluaran",MarTable[Tanggal],"&lt;="&amp;AG29))</f>
        <v>0</v>
      </c>
      <c r="AI29" s="33">
        <f>IF(AF29&gt;$AD$4,NA(),Rekap!$B$19/$AD$4*AF29)</f>
        <v>214290.32258064515</v>
      </c>
      <c r="AJ29" s="33"/>
      <c r="AK29" s="33"/>
      <c r="AL29" s="33"/>
      <c r="AM29" s="33"/>
      <c r="AN29" s="33"/>
      <c r="AO29" s="33"/>
    </row>
    <row r="30" spans="1:41" ht="24.75" customHeight="1" x14ac:dyDescent="0.25">
      <c r="A30" s="5"/>
      <c r="B30" s="3"/>
      <c r="C30" s="3"/>
      <c r="D30" s="3"/>
      <c r="E30" s="6"/>
      <c r="F30" s="4"/>
      <c r="K30" s="54" t="s">
        <v>91</v>
      </c>
      <c r="L30" s="53"/>
      <c r="M30" s="37">
        <f>Rekap!$B$19</f>
        <v>237250</v>
      </c>
      <c r="N30" s="33"/>
      <c r="O30" s="33"/>
      <c r="P30" s="33"/>
      <c r="Q30" s="33"/>
      <c r="R30" s="33"/>
      <c r="S30" s="33"/>
      <c r="T30" s="33"/>
      <c r="U30" s="33"/>
      <c r="V30" s="33"/>
      <c r="AD30" s="33"/>
      <c r="AE30" s="33"/>
      <c r="AF30" s="33">
        <v>29</v>
      </c>
      <c r="AG30" s="33">
        <f t="shared" si="1"/>
        <v>46110</v>
      </c>
      <c r="AH30" s="33">
        <f ca="1">IF(OR(AF30&gt;$AD$4,AF30&gt;$AD$3),NA(),SUMIFS(MarTable[Jumlah (Rp)],MarTable[Tipe],"Pengeluaran",MarTable[Tanggal],"&lt;="&amp;AG30))</f>
        <v>0</v>
      </c>
      <c r="AI30" s="33">
        <f>IF(AF30&gt;$AD$4,NA(),Rekap!$B$19/$AD$4*AF30)</f>
        <v>221943.54838709676</v>
      </c>
      <c r="AJ30" s="33"/>
      <c r="AK30" s="33"/>
      <c r="AL30" s="33"/>
      <c r="AM30" s="33"/>
      <c r="AN30" s="33"/>
      <c r="AO30" s="33"/>
    </row>
    <row r="31" spans="1:41" ht="24.75" customHeight="1" x14ac:dyDescent="0.25">
      <c r="A31" s="5"/>
      <c r="B31" s="3"/>
      <c r="C31" s="3"/>
      <c r="D31" s="3"/>
      <c r="E31" s="6"/>
      <c r="F31" s="4"/>
      <c r="K31" s="54" t="s">
        <v>93</v>
      </c>
      <c r="L31" s="53"/>
      <c r="M31" s="37">
        <f>SUM(Master!$C$5:$C$81)</f>
        <v>30000000</v>
      </c>
      <c r="N31" s="33"/>
      <c r="O31" s="33"/>
      <c r="P31" s="33"/>
      <c r="Q31" s="33"/>
      <c r="R31" s="33"/>
      <c r="S31" s="33"/>
      <c r="T31" s="33"/>
      <c r="U31" s="33"/>
      <c r="V31" s="33"/>
      <c r="AD31" s="33"/>
      <c r="AE31" s="33"/>
      <c r="AF31" s="33">
        <v>30</v>
      </c>
      <c r="AG31" s="33">
        <f t="shared" si="1"/>
        <v>46111</v>
      </c>
      <c r="AH31" s="33">
        <f ca="1">IF(OR(AF31&gt;$AD$4,AF31&gt;$AD$3),NA(),SUMIFS(MarTable[Jumlah (Rp)],MarTable[Tipe],"Pengeluaran",MarTable[Tanggal],"&lt;="&amp;AG31))</f>
        <v>0</v>
      </c>
      <c r="AI31" s="33">
        <f>IF(AF31&gt;$AD$4,NA(),Rekap!$B$19/$AD$4*AF31)</f>
        <v>229596.77419354839</v>
      </c>
      <c r="AJ31" s="33"/>
      <c r="AK31" s="33"/>
      <c r="AL31" s="33"/>
      <c r="AM31" s="33"/>
      <c r="AN31" s="33"/>
      <c r="AO31" s="33"/>
    </row>
    <row r="32" spans="1:41" ht="24.75" customHeight="1" x14ac:dyDescent="0.25">
      <c r="A32" s="5"/>
      <c r="B32" s="3"/>
      <c r="C32" s="3"/>
      <c r="D32" s="3"/>
      <c r="E32" s="6"/>
      <c r="F32" s="4"/>
      <c r="K32" s="52" t="s">
        <v>58</v>
      </c>
      <c r="L32" s="53"/>
      <c r="M32" s="40" t="str">
        <f ca="1">IF(M25=0,"belum mulai",IF(M29&gt;M30,"di atas kebiasaan","di bawah kebiasaan"))</f>
        <v>di bawah kebiasaan</v>
      </c>
      <c r="N32" s="33"/>
      <c r="O32" s="33"/>
      <c r="P32" s="33"/>
      <c r="Q32" s="33"/>
      <c r="R32" s="33"/>
      <c r="S32" s="33"/>
      <c r="T32" s="33"/>
      <c r="U32" s="33"/>
      <c r="V32" s="33"/>
      <c r="AD32" s="33"/>
      <c r="AE32" s="33"/>
      <c r="AF32" s="33">
        <v>31</v>
      </c>
      <c r="AG32" s="33">
        <f t="shared" si="1"/>
        <v>46112</v>
      </c>
      <c r="AH32" s="33">
        <f ca="1">IF(OR(AF32&gt;$AD$4,AF32&gt;$AD$3),NA(),SUMIFS(MarTable[Jumlah (Rp)],MarTable[Tipe],"Pengeluaran",MarTable[Tanggal],"&lt;="&amp;AG32))</f>
        <v>0</v>
      </c>
      <c r="AI32" s="33">
        <f>IF(AF32&gt;$AD$4,NA(),Rekap!$B$19/$AD$4*AF32)</f>
        <v>237250</v>
      </c>
      <c r="AJ32" s="33"/>
      <c r="AK32" s="33"/>
      <c r="AL32" s="33"/>
      <c r="AM32" s="33"/>
      <c r="AN32" s="33"/>
      <c r="AO32" s="33"/>
    </row>
    <row r="33" spans="1:41" ht="24.75" customHeight="1" x14ac:dyDescent="0.25">
      <c r="A33" s="5"/>
      <c r="B33" s="3"/>
      <c r="C33" s="3"/>
      <c r="D33" s="3"/>
      <c r="E33" s="6"/>
      <c r="F33" s="4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</row>
    <row r="34" spans="1:41" ht="24.75" customHeight="1" x14ac:dyDescent="0.25">
      <c r="A34" s="5"/>
      <c r="B34" s="3"/>
      <c r="C34" s="3"/>
      <c r="D34" s="3"/>
      <c r="E34" s="6"/>
      <c r="F34" s="4"/>
      <c r="K34" s="32" t="s">
        <v>94</v>
      </c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</row>
    <row r="35" spans="1:41" ht="24.75" customHeight="1" x14ac:dyDescent="0.25">
      <c r="A35" s="5"/>
      <c r="B35" s="3"/>
      <c r="C35" s="3"/>
      <c r="D35" s="3"/>
      <c r="E35" s="6"/>
      <c r="F35" s="4"/>
      <c r="K35" s="34" t="s">
        <v>43</v>
      </c>
      <c r="L35" s="34" t="s">
        <v>37</v>
      </c>
      <c r="M35" s="34" t="s">
        <v>44</v>
      </c>
      <c r="N35" s="33"/>
      <c r="O35" s="33"/>
      <c r="P35" s="33"/>
      <c r="Q35" s="33"/>
      <c r="R35" s="33"/>
      <c r="S35" s="33"/>
      <c r="T35" s="33"/>
      <c r="U35" s="33"/>
      <c r="V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</row>
    <row r="36" spans="1:41" ht="24.75" customHeight="1" x14ac:dyDescent="0.25">
      <c r="A36" s="5"/>
      <c r="B36" s="3"/>
      <c r="C36" s="3"/>
      <c r="D36" s="3"/>
      <c r="E36" s="6"/>
      <c r="F36" s="4"/>
      <c r="K36" s="35" t="str">
        <f>Master!$G$5</f>
        <v>Tunai Uji</v>
      </c>
      <c r="L36" s="37">
        <f>SUMIFS(MarTable[Jumlah (Rp)],MarTable[Tipe],"Pengeluaran",MarTable[Pembayaran],K36)</f>
        <v>0</v>
      </c>
      <c r="M36" s="48">
        <f t="shared" ref="M36:M44" si="2">IFERROR(L36/$D$3,0)</f>
        <v>0</v>
      </c>
      <c r="N36" s="33"/>
      <c r="O36" s="33"/>
      <c r="P36" s="33"/>
      <c r="Q36" s="33"/>
      <c r="R36" s="33"/>
      <c r="S36" s="33"/>
      <c r="T36" s="33"/>
      <c r="U36" s="33"/>
      <c r="V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</row>
    <row r="37" spans="1:41" ht="24.75" customHeight="1" x14ac:dyDescent="0.25">
      <c r="A37" s="5"/>
      <c r="B37" s="3"/>
      <c r="C37" s="3"/>
      <c r="D37" s="3"/>
      <c r="E37" s="6"/>
      <c r="F37" s="4"/>
      <c r="K37" s="35" t="str">
        <f>Master!$G$6</f>
        <v>Bank Uji</v>
      </c>
      <c r="L37" s="37">
        <f>SUMIFS(MarTable[Jumlah (Rp)],MarTable[Tipe],"Pengeluaran",MarTable[Pembayaran],K37)</f>
        <v>0</v>
      </c>
      <c r="M37" s="48">
        <f t="shared" si="2"/>
        <v>0</v>
      </c>
      <c r="N37" s="33"/>
      <c r="O37" s="33"/>
      <c r="P37" s="33"/>
      <c r="Q37" s="33"/>
      <c r="R37" s="33"/>
      <c r="S37" s="33"/>
      <c r="T37" s="33"/>
      <c r="U37" s="33"/>
      <c r="V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</row>
    <row r="38" spans="1:41" ht="24.75" customHeight="1" x14ac:dyDescent="0.25">
      <c r="A38" s="5"/>
      <c r="B38" s="3"/>
      <c r="C38" s="3"/>
      <c r="D38" s="3"/>
      <c r="E38" s="6"/>
      <c r="F38" s="4"/>
      <c r="K38" s="35" t="str">
        <f>Master!$G$7</f>
        <v>Dompet Uji</v>
      </c>
      <c r="L38" s="37">
        <f>SUMIFS(MarTable[Jumlah (Rp)],MarTable[Tipe],"Pengeluaran",MarTable[Pembayaran],K38)</f>
        <v>0</v>
      </c>
      <c r="M38" s="48">
        <f t="shared" si="2"/>
        <v>0</v>
      </c>
      <c r="N38" s="33"/>
      <c r="O38" s="33"/>
      <c r="P38" s="33"/>
      <c r="Q38" s="33"/>
      <c r="R38" s="33"/>
      <c r="S38" s="33"/>
      <c r="T38" s="33"/>
      <c r="U38" s="33"/>
      <c r="V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</row>
    <row r="39" spans="1:41" ht="24.75" customHeight="1" x14ac:dyDescent="0.25">
      <c r="A39" s="5"/>
      <c r="B39" s="3"/>
      <c r="C39" s="3"/>
      <c r="D39" s="3"/>
      <c r="E39" s="6"/>
      <c r="F39" s="4"/>
      <c r="K39" s="35" t="str">
        <f>Master!$G$8</f>
        <v>Kartu Uji</v>
      </c>
      <c r="L39" s="37">
        <f>SUMIFS(MarTable[Jumlah (Rp)],MarTable[Tipe],"Pengeluaran",MarTable[Pembayaran],K39)</f>
        <v>0</v>
      </c>
      <c r="M39" s="48">
        <f t="shared" si="2"/>
        <v>0</v>
      </c>
      <c r="N39" s="33"/>
      <c r="O39" s="33"/>
      <c r="P39" s="33"/>
      <c r="Q39" s="33"/>
      <c r="R39" s="33"/>
      <c r="S39" s="33"/>
      <c r="T39" s="33"/>
      <c r="U39" s="33"/>
      <c r="V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</row>
    <row r="40" spans="1:41" ht="24.75" customHeight="1" x14ac:dyDescent="0.25">
      <c r="A40" s="5"/>
      <c r="B40" s="3"/>
      <c r="C40" s="3"/>
      <c r="D40" s="3"/>
      <c r="E40" s="6"/>
      <c r="F40" s="4"/>
      <c r="K40" s="35" t="str">
        <f>Master!$G$9</f>
        <v>Transfer Uji</v>
      </c>
      <c r="L40" s="37">
        <f>SUMIFS(MarTable[Jumlah (Rp)],MarTable[Tipe],"Pengeluaran",MarTable[Pembayaran],K40)</f>
        <v>0</v>
      </c>
      <c r="M40" s="48">
        <f t="shared" si="2"/>
        <v>0</v>
      </c>
      <c r="N40" s="33"/>
      <c r="O40" s="33"/>
      <c r="P40" s="33"/>
      <c r="Q40" s="33"/>
      <c r="R40" s="33"/>
      <c r="S40" s="33"/>
      <c r="T40" s="33"/>
      <c r="U40" s="33"/>
      <c r="V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</row>
    <row r="41" spans="1:41" ht="24.75" customHeight="1" x14ac:dyDescent="0.25">
      <c r="A41" s="5"/>
      <c r="B41" s="3"/>
      <c r="C41" s="3"/>
      <c r="D41" s="3"/>
      <c r="E41" s="6"/>
      <c r="F41" s="4"/>
      <c r="K41" s="35" t="str">
        <f>Master!$G$10</f>
        <v>Voucher Uji</v>
      </c>
      <c r="L41" s="37">
        <f>SUMIFS(MarTable[Jumlah (Rp)],MarTable[Tipe],"Pengeluaran",MarTable[Pembayaran],K41)</f>
        <v>0</v>
      </c>
      <c r="M41" s="48">
        <f t="shared" si="2"/>
        <v>0</v>
      </c>
      <c r="N41" s="33"/>
      <c r="O41" s="33"/>
      <c r="P41" s="33"/>
      <c r="Q41" s="33"/>
      <c r="R41" s="33"/>
      <c r="S41" s="33"/>
      <c r="T41" s="33"/>
      <c r="U41" s="33"/>
      <c r="V41" s="33"/>
    </row>
    <row r="42" spans="1:41" ht="24.75" customHeight="1" x14ac:dyDescent="0.25">
      <c r="A42" s="5"/>
      <c r="B42" s="3"/>
      <c r="C42" s="3"/>
      <c r="D42" s="3"/>
      <c r="E42" s="6"/>
      <c r="F42" s="4"/>
      <c r="K42" s="35" t="str">
        <f>Master!$G$11</f>
        <v>Cicilan Uji</v>
      </c>
      <c r="L42" s="37">
        <f>SUMIFS(MarTable[Jumlah (Rp)],MarTable[Tipe],"Pengeluaran",MarTable[Pembayaran],K42)</f>
        <v>0</v>
      </c>
      <c r="M42" s="48">
        <f t="shared" si="2"/>
        <v>0</v>
      </c>
      <c r="N42" s="33"/>
      <c r="O42" s="33"/>
      <c r="P42" s="33"/>
      <c r="Q42" s="33"/>
      <c r="R42" s="33"/>
      <c r="S42" s="33"/>
      <c r="T42" s="33"/>
      <c r="U42" s="33"/>
      <c r="V42" s="33"/>
    </row>
    <row r="43" spans="1:41" ht="24.75" customHeight="1" x14ac:dyDescent="0.25">
      <c r="A43" s="5"/>
      <c r="B43" s="3"/>
      <c r="C43" s="3"/>
      <c r="D43" s="3"/>
      <c r="E43" s="6"/>
      <c r="F43" s="4"/>
      <c r="K43" s="35" t="str">
        <f>Master!$G$12</f>
        <v>Lainnya Uji</v>
      </c>
      <c r="L43" s="37">
        <f>SUMIFS(MarTable[Jumlah (Rp)],MarTable[Tipe],"Pengeluaran",MarTable[Pembayaran],K43)</f>
        <v>0</v>
      </c>
      <c r="M43" s="48">
        <f t="shared" si="2"/>
        <v>0</v>
      </c>
      <c r="N43" s="33"/>
      <c r="O43" s="33"/>
      <c r="P43" s="33"/>
      <c r="Q43" s="33"/>
      <c r="R43" s="33"/>
      <c r="S43" s="33"/>
      <c r="T43" s="33"/>
      <c r="U43" s="33"/>
      <c r="V43" s="33"/>
    </row>
    <row r="44" spans="1:41" ht="24.75" customHeight="1" x14ac:dyDescent="0.25">
      <c r="A44" s="5"/>
      <c r="B44" s="3"/>
      <c r="C44" s="3"/>
      <c r="D44" s="3"/>
      <c r="E44" s="6"/>
      <c r="F44" s="4"/>
      <c r="K44" s="40" t="s">
        <v>21</v>
      </c>
      <c r="L44" s="42">
        <f>SUM(L36:L43)</f>
        <v>0</v>
      </c>
      <c r="M44" s="44">
        <f t="shared" si="2"/>
        <v>0</v>
      </c>
      <c r="N44" s="33"/>
      <c r="O44" s="33"/>
      <c r="P44" s="33"/>
      <c r="Q44" s="33"/>
      <c r="R44" s="33"/>
      <c r="S44" s="33"/>
      <c r="T44" s="33"/>
      <c r="U44" s="33"/>
      <c r="V44" s="33"/>
    </row>
    <row r="45" spans="1:41" ht="24.75" customHeight="1" x14ac:dyDescent="0.25">
      <c r="A45" s="5"/>
      <c r="B45" s="3"/>
      <c r="C45" s="3"/>
      <c r="D45" s="3"/>
      <c r="E45" s="6"/>
      <c r="F45" s="4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</row>
    <row r="46" spans="1:41" ht="24.75" customHeight="1" x14ac:dyDescent="0.25">
      <c r="A46" s="5"/>
      <c r="B46" s="3"/>
      <c r="C46" s="3"/>
      <c r="D46" s="3"/>
      <c r="E46" s="6"/>
      <c r="F46" s="4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</row>
    <row r="47" spans="1:41" ht="24.75" customHeight="1" x14ac:dyDescent="0.25">
      <c r="A47" s="5"/>
      <c r="B47" s="3"/>
      <c r="C47" s="3"/>
      <c r="D47" s="3"/>
      <c r="E47" s="6"/>
      <c r="F47" s="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</row>
    <row r="48" spans="1:41" ht="24.75" customHeight="1" x14ac:dyDescent="0.25">
      <c r="A48" s="5"/>
      <c r="B48" s="3"/>
      <c r="C48" s="3"/>
      <c r="D48" s="3"/>
      <c r="E48" s="6"/>
      <c r="F48" s="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</row>
    <row r="49" spans="1:22" ht="24.75" customHeight="1" x14ac:dyDescent="0.25">
      <c r="A49" s="5"/>
      <c r="B49" s="3"/>
      <c r="C49" s="3"/>
      <c r="D49" s="3"/>
      <c r="E49" s="6"/>
      <c r="F49" s="4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ht="24.75" customHeight="1" x14ac:dyDescent="0.25">
      <c r="A50" s="5"/>
      <c r="B50" s="3"/>
      <c r="C50" s="3"/>
      <c r="D50" s="3"/>
      <c r="E50" s="6"/>
      <c r="F50" s="4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</row>
    <row r="51" spans="1:22" ht="24.75" customHeight="1" x14ac:dyDescent="0.25">
      <c r="A51" s="5"/>
      <c r="B51" s="3"/>
      <c r="C51" s="3"/>
      <c r="D51" s="3"/>
      <c r="E51" s="6"/>
      <c r="F51" s="4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</row>
    <row r="52" spans="1:22" ht="24.75" customHeight="1" x14ac:dyDescent="0.25">
      <c r="A52" s="5"/>
      <c r="B52" s="3"/>
      <c r="C52" s="3"/>
      <c r="D52" s="3"/>
      <c r="E52" s="6"/>
      <c r="F52" s="4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</row>
    <row r="53" spans="1:22" ht="24.75" customHeight="1" x14ac:dyDescent="0.25">
      <c r="A53" s="5"/>
      <c r="B53" s="3"/>
      <c r="C53" s="3"/>
      <c r="D53" s="3"/>
      <c r="E53" s="6"/>
      <c r="F53" s="4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</row>
    <row r="54" spans="1:22" ht="24.75" customHeight="1" x14ac:dyDescent="0.25">
      <c r="A54" s="5"/>
      <c r="B54" s="3"/>
      <c r="C54" s="3"/>
      <c r="D54" s="3"/>
      <c r="E54" s="6"/>
      <c r="F54" s="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</row>
    <row r="55" spans="1:22" ht="24.75" customHeight="1" x14ac:dyDescent="0.25">
      <c r="A55" s="5"/>
      <c r="B55" s="3"/>
      <c r="C55" s="3"/>
      <c r="D55" s="3"/>
      <c r="E55" s="6"/>
      <c r="F55" s="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</row>
    <row r="56" spans="1:22" ht="24.75" customHeight="1" x14ac:dyDescent="0.25">
      <c r="A56" s="5"/>
      <c r="B56" s="3"/>
      <c r="C56" s="3"/>
      <c r="D56" s="3"/>
      <c r="E56" s="6"/>
      <c r="F56" s="4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</row>
    <row r="57" spans="1:22" ht="24.75" customHeight="1" x14ac:dyDescent="0.25">
      <c r="A57" s="5"/>
      <c r="B57" s="3"/>
      <c r="C57" s="3"/>
      <c r="D57" s="3"/>
      <c r="E57" s="6"/>
      <c r="F57" s="4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</row>
    <row r="58" spans="1:22" ht="24.75" customHeight="1" x14ac:dyDescent="0.25">
      <c r="A58" s="5"/>
      <c r="B58" s="3"/>
      <c r="C58" s="3"/>
      <c r="D58" s="3"/>
      <c r="E58" s="6"/>
      <c r="F58" s="4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</row>
    <row r="59" spans="1:22" ht="24.75" customHeight="1" x14ac:dyDescent="0.25">
      <c r="A59" s="5"/>
      <c r="B59" s="3"/>
      <c r="C59" s="3"/>
      <c r="D59" s="3"/>
      <c r="E59" s="6"/>
      <c r="F59" s="4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</row>
    <row r="60" spans="1:22" ht="24.75" customHeight="1" x14ac:dyDescent="0.25">
      <c r="A60" s="5"/>
      <c r="B60" s="3"/>
      <c r="C60" s="3"/>
      <c r="D60" s="3"/>
      <c r="E60" s="6"/>
      <c r="F60" s="4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</row>
    <row r="61" spans="1:22" ht="24.75" customHeight="1" x14ac:dyDescent="0.25">
      <c r="A61" s="5"/>
      <c r="B61" s="3"/>
      <c r="C61" s="3"/>
      <c r="D61" s="3"/>
      <c r="E61" s="6"/>
      <c r="F61" s="4"/>
    </row>
    <row r="62" spans="1:22" ht="24.75" customHeight="1" x14ac:dyDescent="0.25">
      <c r="A62" s="5"/>
      <c r="B62" s="3"/>
      <c r="C62" s="3"/>
      <c r="D62" s="3"/>
      <c r="E62" s="6"/>
      <c r="F62" s="4"/>
    </row>
    <row r="63" spans="1:22" ht="24.75" customHeight="1" x14ac:dyDescent="0.25">
      <c r="A63" s="5"/>
      <c r="B63" s="3"/>
      <c r="C63" s="3"/>
      <c r="D63" s="3"/>
      <c r="E63" s="6"/>
      <c r="F63" s="4"/>
    </row>
    <row r="64" spans="1:22" ht="24.75" customHeight="1" x14ac:dyDescent="0.25">
      <c r="A64" s="5"/>
      <c r="B64" s="3"/>
      <c r="C64" s="3"/>
      <c r="D64" s="3"/>
      <c r="E64" s="6"/>
      <c r="F64" s="4"/>
    </row>
    <row r="65" spans="1:6" ht="24.75" customHeight="1" x14ac:dyDescent="0.25">
      <c r="A65" s="5"/>
      <c r="B65" s="3"/>
      <c r="C65" s="3"/>
      <c r="D65" s="3"/>
      <c r="E65" s="6"/>
      <c r="F65" s="4"/>
    </row>
    <row r="66" spans="1:6" ht="24.75" customHeight="1" x14ac:dyDescent="0.25">
      <c r="A66" s="5"/>
      <c r="B66" s="3"/>
      <c r="C66" s="3"/>
      <c r="D66" s="3"/>
      <c r="E66" s="6"/>
      <c r="F66" s="4"/>
    </row>
    <row r="67" spans="1:6" ht="24.75" customHeight="1" x14ac:dyDescent="0.25">
      <c r="A67" s="5"/>
      <c r="B67" s="3"/>
      <c r="C67" s="3"/>
      <c r="D67" s="3"/>
      <c r="E67" s="6"/>
      <c r="F67" s="4"/>
    </row>
    <row r="68" spans="1:6" ht="24.75" customHeight="1" x14ac:dyDescent="0.25">
      <c r="A68" s="5"/>
      <c r="B68" s="3"/>
      <c r="C68" s="3"/>
      <c r="D68" s="3"/>
      <c r="E68" s="6"/>
      <c r="F68" s="4"/>
    </row>
    <row r="69" spans="1:6" ht="24.75" customHeight="1" x14ac:dyDescent="0.25">
      <c r="A69" s="5"/>
      <c r="B69" s="3"/>
      <c r="C69" s="3"/>
      <c r="D69" s="3"/>
      <c r="E69" s="6"/>
      <c r="F69" s="4"/>
    </row>
    <row r="70" spans="1:6" ht="24.75" customHeight="1" x14ac:dyDescent="0.25">
      <c r="A70" s="5"/>
      <c r="B70" s="3"/>
      <c r="C70" s="3"/>
      <c r="D70" s="3"/>
      <c r="E70" s="6"/>
      <c r="F70" s="4"/>
    </row>
    <row r="71" spans="1:6" ht="24.75" customHeight="1" x14ac:dyDescent="0.25">
      <c r="A71" s="5"/>
      <c r="B71" s="3"/>
      <c r="C71" s="3"/>
      <c r="D71" s="3"/>
      <c r="E71" s="6"/>
      <c r="F71" s="4"/>
    </row>
    <row r="72" spans="1:6" ht="24.75" customHeight="1" x14ac:dyDescent="0.25">
      <c r="A72" s="5"/>
      <c r="B72" s="3"/>
      <c r="C72" s="3"/>
      <c r="D72" s="3"/>
      <c r="E72" s="6"/>
      <c r="F72" s="4"/>
    </row>
    <row r="73" spans="1:6" ht="24.75" customHeight="1" x14ac:dyDescent="0.25">
      <c r="A73" s="5"/>
      <c r="B73" s="3"/>
      <c r="C73" s="3"/>
      <c r="D73" s="3"/>
      <c r="E73" s="6"/>
      <c r="F73" s="4"/>
    </row>
    <row r="74" spans="1:6" ht="24.75" customHeight="1" x14ac:dyDescent="0.25">
      <c r="A74" s="5"/>
      <c r="B74" s="3"/>
      <c r="C74" s="3"/>
      <c r="D74" s="3"/>
      <c r="E74" s="6"/>
      <c r="F74" s="4"/>
    </row>
    <row r="75" spans="1:6" ht="24.75" customHeight="1" x14ac:dyDescent="0.25">
      <c r="A75" s="5"/>
      <c r="B75" s="3"/>
      <c r="C75" s="3"/>
      <c r="D75" s="3"/>
      <c r="E75" s="6"/>
      <c r="F75" s="4"/>
    </row>
    <row r="76" spans="1:6" ht="24.75" customHeight="1" x14ac:dyDescent="0.25">
      <c r="A76" s="5"/>
      <c r="B76" s="3"/>
      <c r="C76" s="3"/>
      <c r="D76" s="3"/>
      <c r="E76" s="6"/>
      <c r="F76" s="4"/>
    </row>
    <row r="77" spans="1:6" ht="24.75" customHeight="1" x14ac:dyDescent="0.25">
      <c r="A77" s="5"/>
      <c r="B77" s="3"/>
      <c r="C77" s="3"/>
      <c r="D77" s="3"/>
      <c r="E77" s="6"/>
      <c r="F77" s="4"/>
    </row>
    <row r="78" spans="1:6" ht="24.75" customHeight="1" x14ac:dyDescent="0.25">
      <c r="A78" s="5"/>
      <c r="B78" s="3"/>
      <c r="C78" s="3"/>
      <c r="D78" s="3"/>
      <c r="E78" s="6"/>
      <c r="F78" s="4"/>
    </row>
    <row r="79" spans="1:6" ht="24.75" customHeight="1" x14ac:dyDescent="0.25">
      <c r="A79" s="5"/>
      <c r="B79" s="3"/>
      <c r="C79" s="3"/>
      <c r="D79" s="3"/>
      <c r="E79" s="6"/>
      <c r="F79" s="4"/>
    </row>
    <row r="80" spans="1:6" ht="24.75" customHeight="1" x14ac:dyDescent="0.25">
      <c r="A80" s="5"/>
      <c r="B80" s="3"/>
      <c r="C80" s="3"/>
      <c r="D80" s="3"/>
      <c r="E80" s="6"/>
      <c r="F80" s="4"/>
    </row>
  </sheetData>
  <mergeCells count="21">
    <mergeCell ref="K16:L16"/>
    <mergeCell ref="K30:L30"/>
    <mergeCell ref="K18:L18"/>
    <mergeCell ref="K25:L25"/>
    <mergeCell ref="K24:L24"/>
    <mergeCell ref="K32:L32"/>
    <mergeCell ref="K31:L31"/>
    <mergeCell ref="K27:L27"/>
    <mergeCell ref="R8:T8"/>
    <mergeCell ref="H13:I13"/>
    <mergeCell ref="K14:L14"/>
    <mergeCell ref="K17:L17"/>
    <mergeCell ref="K10:L10"/>
    <mergeCell ref="K28:L28"/>
    <mergeCell ref="K19:L19"/>
    <mergeCell ref="K15:L15"/>
    <mergeCell ref="K9:L9"/>
    <mergeCell ref="K26:L26"/>
    <mergeCell ref="K29:L29"/>
    <mergeCell ref="K11:L11"/>
    <mergeCell ref="K20:L20"/>
  </mergeCells>
  <conditionalFormatting sqref="M19">
    <cfRule type="cellIs" dxfId="154" priority="3" operator="lessThan">
      <formula>0</formula>
    </cfRule>
    <cfRule type="cellIs" dxfId="153" priority="4" operator="greaterThanOrEqual">
      <formula>0</formula>
    </cfRule>
  </conditionalFormatting>
  <conditionalFormatting sqref="M32">
    <cfRule type="cellIs" dxfId="152" priority="5" operator="equal">
      <formula>"di atas kebiasaan"</formula>
    </cfRule>
    <cfRule type="cellIs" dxfId="151" priority="6" operator="equal">
      <formula>"di bawah kebiasaan"</formula>
    </cfRule>
  </conditionalFormatting>
  <conditionalFormatting sqref="U12:U15">
    <cfRule type="cellIs" dxfId="150" priority="7" operator="greaterThan">
      <formula>0</formula>
    </cfRule>
    <cfRule type="cellIs" dxfId="149" priority="8" operator="lessThan">
      <formula>0</formula>
    </cfRule>
  </conditionalFormatting>
  <conditionalFormatting sqref="U19:U23">
    <cfRule type="cellIs" dxfId="148" priority="9" operator="greaterThan">
      <formula>0</formula>
    </cfRule>
    <cfRule type="cellIs" dxfId="147" priority="10" operator="lessThan">
      <formula>0</formula>
    </cfRule>
  </conditionalFormatting>
  <conditionalFormatting sqref="B6:B505">
    <cfRule type="expression" dxfId="146" priority="11" stopIfTrue="1">
      <formula>TRIM($B6)="Pengeluaran"</formula>
    </cfRule>
    <cfRule type="expression" dxfId="145" priority="12" stopIfTrue="1">
      <formula>TRIM($B6)="Pemasukan"</formula>
    </cfRule>
  </conditionalFormatting>
  <dataValidations count="3">
    <dataValidation type="list" errorStyle="warning" allowBlank="1" errorTitle="Di luar daftar" error="Nilai ini tidak ada di sheet Master. Tetap pakai?" sqref="B6:B505" xr:uid="{00000000-0002-0000-0300-000000000000}">
      <formula1>ListTipe</formula1>
    </dataValidation>
    <dataValidation type="list" errorStyle="warning" allowBlank="1" errorTitle="Di luar daftar" error="Nilai ini tidak ada di sheet Master. Tetap pakai?" sqref="C6:C505" xr:uid="{00000000-0002-0000-0300-000001000000}">
      <formula1>ListPembayaran</formula1>
    </dataValidation>
    <dataValidation type="list" errorStyle="warning" allowBlank="1" errorTitle="Di luar daftar" error="Nilai ini tidak ada di sheet Master. Tetap pakai?" sqref="D6:D505" xr:uid="{00000000-0002-0000-0300-000002000000}">
      <formula1>ListKategori</formula1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5" name="Button 1">
              <controlPr defaultSize="0" print="0" autoFill="0" autoPict="0" macro="TambahBarisBaru_ActiveSheet">
                <anchor moveWithCells="1" sizeWithCells="1">
                  <from>
                    <xdr:col>4</xdr:col>
                    <xdr:colOff>1457325</xdr:colOff>
                    <xdr:row>1</xdr:row>
                    <xdr:rowOff>285750</xdr:rowOff>
                  </from>
                  <to>
                    <xdr:col>5</xdr:col>
                    <xdr:colOff>3038475</xdr:colOff>
                    <xdr:row>3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AO92"/>
  <sheetViews>
    <sheetView topLeftCell="A13" workbookViewId="0"/>
  </sheetViews>
  <sheetFormatPr defaultRowHeight="24.75" customHeight="1" x14ac:dyDescent="0.25"/>
  <cols>
    <col min="1" max="1" width="15" customWidth="1"/>
    <col min="2" max="2" width="14" customWidth="1"/>
    <col min="3" max="3" width="20.85546875" customWidth="1"/>
    <col min="4" max="5" width="22.140625" customWidth="1"/>
    <col min="6" max="6" width="46" customWidth="1"/>
    <col min="7" max="7" width="2" customWidth="1"/>
    <col min="8" max="8" width="16.7109375" customWidth="1"/>
    <col min="9" max="9" width="16.42578125" customWidth="1"/>
    <col min="11" max="11" width="26" customWidth="1"/>
    <col min="12" max="12" width="9" customWidth="1"/>
    <col min="13" max="15" width="16" customWidth="1"/>
    <col min="16" max="16" width="19" customWidth="1"/>
    <col min="17" max="17" width="2" customWidth="1"/>
    <col min="18" max="18" width="22" customWidth="1"/>
    <col min="19" max="21" width="15" customWidth="1"/>
    <col min="22" max="22" width="34" customWidth="1"/>
    <col min="30" max="41" width="13" hidden="1" customWidth="1"/>
  </cols>
  <sheetData>
    <row r="1" spans="1:41" ht="24.75" customHeight="1" x14ac:dyDescent="0.25">
      <c r="A1" s="15" t="s">
        <v>45</v>
      </c>
      <c r="B1" s="16"/>
      <c r="C1" s="17" t="s">
        <v>46</v>
      </c>
      <c r="D1" s="16"/>
      <c r="K1" s="32" t="s">
        <v>47</v>
      </c>
      <c r="L1" s="33"/>
      <c r="M1" s="33"/>
      <c r="N1" s="33"/>
      <c r="O1" s="33"/>
      <c r="P1" s="33"/>
      <c r="Q1" s="33"/>
      <c r="R1" s="32" t="s">
        <v>48</v>
      </c>
      <c r="S1" s="33"/>
      <c r="T1" s="33"/>
      <c r="U1" s="33"/>
      <c r="V1" s="33"/>
      <c r="AD1" s="33">
        <f>DATE(2026,4,1)</f>
        <v>46113</v>
      </c>
      <c r="AE1" s="33"/>
      <c r="AF1" s="33" t="s">
        <v>49</v>
      </c>
      <c r="AG1" s="33"/>
      <c r="AH1" s="33" t="s">
        <v>50</v>
      </c>
      <c r="AI1" s="33" t="s">
        <v>51</v>
      </c>
      <c r="AJ1" s="33" t="str">
        <f>Master!$A$5</f>
        <v>Kategori Uji 01</v>
      </c>
      <c r="AK1" s="33">
        <f>SUMIFS(AprilTable[Jumlah (Rp)],AprilTable[Tipe],"Pengeluaran",AprilTable[Kategori],AJ1)</f>
        <v>0</v>
      </c>
      <c r="AL1" s="33">
        <f>SUMIFS(MarTable[Jumlah (Rp)],MarTable[Tipe],"Pengeluaran",MarTable[Kategori],AJ1)</f>
        <v>0</v>
      </c>
      <c r="AM1" s="33">
        <f t="shared" ref="AM1:AM23" si="0">AK1+ROW()/1000000</f>
        <v>9.9999999999999995E-7</v>
      </c>
      <c r="AN1" s="33">
        <f>MAX($AM$1:$AM$23)</f>
        <v>2.3E-5</v>
      </c>
      <c r="AO1" s="33">
        <f>IFERROR(MATCH(AN1,$AM$1:$AM$23,0),0)</f>
        <v>23</v>
      </c>
    </row>
    <row r="2" spans="1:41" ht="24.75" customHeight="1" x14ac:dyDescent="0.25">
      <c r="A2" s="15" t="s">
        <v>5</v>
      </c>
      <c r="B2" s="7" t="str">
        <f>IF(B1=0,"",B1-D4)</f>
        <v/>
      </c>
      <c r="C2" s="17" t="s">
        <v>52</v>
      </c>
      <c r="D2" s="2">
        <f>SUMIFS(AprilTable[Jumlah (Rp)],AprilTable[Tipe],"Pemasukan")</f>
        <v>0</v>
      </c>
      <c r="E2" s="8">
        <f>IFERROR(D2/(D2+D3),0)</f>
        <v>0</v>
      </c>
      <c r="K2" s="34" t="s">
        <v>53</v>
      </c>
      <c r="L2" s="34" t="s">
        <v>54</v>
      </c>
      <c r="M2" s="34" t="s">
        <v>55</v>
      </c>
      <c r="N2" s="34" t="s">
        <v>56</v>
      </c>
      <c r="O2" s="34" t="s">
        <v>57</v>
      </c>
      <c r="P2" s="34" t="s">
        <v>58</v>
      </c>
      <c r="Q2" s="33"/>
      <c r="R2" s="34" t="s">
        <v>59</v>
      </c>
      <c r="S2" s="34" t="s">
        <v>49</v>
      </c>
      <c r="T2" s="34" t="s">
        <v>25</v>
      </c>
      <c r="U2" s="34" t="s">
        <v>60</v>
      </c>
      <c r="V2" s="34" t="s">
        <v>61</v>
      </c>
      <c r="AD2" s="33">
        <f>EOMONTH(AD1,0)</f>
        <v>46142</v>
      </c>
      <c r="AE2" s="33"/>
      <c r="AF2" s="33">
        <v>1</v>
      </c>
      <c r="AG2" s="33">
        <f t="shared" ref="AG2:AG32" si="1">DATE(2026,4,AF2)</f>
        <v>46113</v>
      </c>
      <c r="AH2" s="33">
        <f ca="1">IF(OR(AF2&gt;$AD$4,AF2&gt;$AD$3),NA(),SUMIFS(AprilTable[Jumlah (Rp)],AprilTable[Tipe],"Pengeluaran",AprilTable[Tanggal],"&lt;="&amp;AG2))</f>
        <v>0</v>
      </c>
      <c r="AI2" s="33">
        <f>IF(AF2&gt;$AD$4,NA(),Rekap!$B$19/$AD$4*AF2)</f>
        <v>7908.333333333333</v>
      </c>
      <c r="AJ2" s="33" t="str">
        <f>Master!$A$6</f>
        <v>Kategori Uji 02</v>
      </c>
      <c r="AK2" s="33">
        <f>SUMIFS(AprilTable[Jumlah (Rp)],AprilTable[Tipe],"Pengeluaran",AprilTable[Kategori],AJ2)</f>
        <v>0</v>
      </c>
      <c r="AL2" s="33">
        <f>SUMIFS(MarTable[Jumlah (Rp)],MarTable[Tipe],"Pengeluaran",MarTable[Kategori],AJ2)</f>
        <v>0</v>
      </c>
      <c r="AM2" s="33">
        <f t="shared" si="0"/>
        <v>1.9999999999999999E-6</v>
      </c>
      <c r="AN2" s="33">
        <f>SUMPRODUCT(MAX(($AM$1:$AM$23&lt;AN1)*$AM$1:$AM$23))</f>
        <v>2.1999999999999999E-5</v>
      </c>
      <c r="AO2" s="33">
        <f>IFERROR(MATCH(AN2,$AM$1:$AM$23,0),0)</f>
        <v>22</v>
      </c>
    </row>
    <row r="3" spans="1:41" ht="24.75" customHeight="1" x14ac:dyDescent="0.25">
      <c r="A3" s="15" t="s">
        <v>6</v>
      </c>
      <c r="B3" s="18" t="str">
        <f>IF(D2=0,"",(D2-D3)/D2)</f>
        <v/>
      </c>
      <c r="C3" s="19" t="s">
        <v>62</v>
      </c>
      <c r="D3" s="2">
        <f>SUMIFS(AprilTable[Jumlah (Rp)],AprilTable[Tipe],"Pengeluaran")</f>
        <v>0</v>
      </c>
      <c r="E3" s="8">
        <f>IFERROR(D3/(D2+D3),0)</f>
        <v>0</v>
      </c>
      <c r="K3" s="35" t="str">
        <f>"Uang Makan (hari kerja "&amp;TEXT($AD$1-1,"mmmm")&amp;")"</f>
        <v>Uang Makan (hari kerja March)</v>
      </c>
      <c r="L3" s="36">
        <v>10</v>
      </c>
      <c r="M3" s="37">
        <f>$M$10*$M$11</f>
        <v>0</v>
      </c>
      <c r="N3" s="37">
        <f>SUMIFS(AprilTable[Jumlah (Rp)],AprilTable[Tipe],"Pemasukan",AprilTable[Kategori],"Uang Makan")</f>
        <v>0</v>
      </c>
      <c r="O3" s="37">
        <f ca="1">IF(OR(N3&gt;0,TODAY()&gt;$AD$2),0,N(M3))</f>
        <v>0</v>
      </c>
      <c r="P3" s="35" t="str">
        <f ca="1">IF(N3&gt;0,"sudah cair",IF(TODAY()&gt;$AD$2,"bulan sudah lewat",IF(N(M3)=0,"isi estimasi dulu","menunggu tgl 10")))</f>
        <v>bulan sudah lewat</v>
      </c>
      <c r="Q3" s="33"/>
      <c r="R3" s="36">
        <v>1</v>
      </c>
      <c r="S3" s="38">
        <f>IF($AE$6=0,"",INDEX(AprilTable[Tanggal],$AE$6))</f>
        <v>0</v>
      </c>
      <c r="T3" s="35">
        <f>IF($AE$6=0,"",INDEX(AprilTable[Kategori],$AE$6))</f>
        <v>0</v>
      </c>
      <c r="U3" s="37">
        <f>IF($AE$6=0,"",INDEX(AprilTable[Jumlah (Rp)],$AE$6))</f>
        <v>0</v>
      </c>
      <c r="V3" s="35">
        <f>IF($AE$6=0,"",INDEX(AprilTable[Keterangan],$AE$6))</f>
        <v>0</v>
      </c>
      <c r="AD3" s="33">
        <f ca="1">IF(TODAY()&gt;=AD2,DAY(AD2),IF(TODAY()&lt;AD1,0,DAY(TODAY())))</f>
        <v>30</v>
      </c>
      <c r="AE3" s="33"/>
      <c r="AF3" s="33">
        <v>2</v>
      </c>
      <c r="AG3" s="33">
        <f t="shared" si="1"/>
        <v>46114</v>
      </c>
      <c r="AH3" s="33">
        <f ca="1">IF(OR(AF3&gt;$AD$4,AF3&gt;$AD$3),NA(),SUMIFS(AprilTable[Jumlah (Rp)],AprilTable[Tipe],"Pengeluaran",AprilTable[Tanggal],"&lt;="&amp;AG3))</f>
        <v>0</v>
      </c>
      <c r="AI3" s="33">
        <f>IF(AF3&gt;$AD$4,NA(),Rekap!$B$19/$AD$4*AF3)</f>
        <v>15816.666666666666</v>
      </c>
      <c r="AJ3" s="33" t="str">
        <f>Master!$A$7</f>
        <v>Kategori Uji 03</v>
      </c>
      <c r="AK3" s="33">
        <f>SUMIFS(AprilTable[Jumlah (Rp)],AprilTable[Tipe],"Pengeluaran",AprilTable[Kategori],AJ3)</f>
        <v>0</v>
      </c>
      <c r="AL3" s="33">
        <f>SUMIFS(MarTable[Jumlah (Rp)],MarTable[Tipe],"Pengeluaran",MarTable[Kategori],AJ3)</f>
        <v>0</v>
      </c>
      <c r="AM3" s="33">
        <f t="shared" si="0"/>
        <v>3.0000000000000001E-6</v>
      </c>
      <c r="AN3" s="33">
        <f>SUMPRODUCT(MAX(($AM$1:$AM$23&lt;AN2)*$AM$1:$AM$23))</f>
        <v>2.0999999999999999E-5</v>
      </c>
      <c r="AO3" s="33">
        <f>IFERROR(MATCH(AN3,$AM$1:$AM$23,0),0)</f>
        <v>21</v>
      </c>
    </row>
    <row r="4" spans="1:41" ht="24.75" customHeight="1" x14ac:dyDescent="0.25">
      <c r="A4" s="15" t="s">
        <v>63</v>
      </c>
      <c r="B4">
        <f>COUNTA(AprilTable[Tanggal])</f>
        <v>0</v>
      </c>
      <c r="C4" s="17" t="s">
        <v>64</v>
      </c>
      <c r="D4" s="20">
        <f>D1+D2-D3</f>
        <v>0</v>
      </c>
      <c r="K4" s="35" t="s">
        <v>144</v>
      </c>
      <c r="L4" s="36">
        <v>10</v>
      </c>
      <c r="M4" s="39">
        <v>5000000</v>
      </c>
      <c r="N4" s="37">
        <f>SUMIFS(AprilTable[Jumlah (Rp)],AprilTable[Tipe],"Pemasukan",AprilTable[Kategori],"Gaji")</f>
        <v>0</v>
      </c>
      <c r="O4" s="37">
        <f ca="1">IF(OR(N4&gt;1000000,TODAY()&gt;$AD$2),0,N(M4))</f>
        <v>0</v>
      </c>
      <c r="P4" s="35" t="str">
        <f ca="1">IF(N4&gt;1000000,"sudah cair",IF(TODAY()&gt;$AD$2,"bulan sudah lewat",IF(N(M4)=0,"isi estimasi dulu","menunggu tgl 25")))</f>
        <v>bulan sudah lewat</v>
      </c>
      <c r="Q4" s="33"/>
      <c r="R4" s="36">
        <v>2</v>
      </c>
      <c r="S4" s="38">
        <f>IF($AE$7=0,"",INDEX(AprilTable[Tanggal],$AE$7))</f>
        <v>0</v>
      </c>
      <c r="T4" s="35">
        <f>IF($AE$7=0,"",INDEX(AprilTable[Kategori],$AE$7))</f>
        <v>0</v>
      </c>
      <c r="U4" s="37">
        <f>IF($AE$7=0,"",INDEX(AprilTable[Jumlah (Rp)],$AE$7))</f>
        <v>0</v>
      </c>
      <c r="V4" s="35">
        <f>IF($AE$7=0,"",INDEX(AprilTable[Keterangan],$AE$7))</f>
        <v>0</v>
      </c>
      <c r="AD4" s="33">
        <f>DAY(AD2)</f>
        <v>30</v>
      </c>
      <c r="AE4" s="33"/>
      <c r="AF4" s="33">
        <v>3</v>
      </c>
      <c r="AG4" s="33">
        <f t="shared" si="1"/>
        <v>46115</v>
      </c>
      <c r="AH4" s="33">
        <f ca="1">IF(OR(AF4&gt;$AD$4,AF4&gt;$AD$3),NA(),SUMIFS(AprilTable[Jumlah (Rp)],AprilTable[Tipe],"Pengeluaran",AprilTable[Tanggal],"&lt;="&amp;AG4))</f>
        <v>0</v>
      </c>
      <c r="AI4" s="33">
        <f>IF(AF4&gt;$AD$4,NA(),Rekap!$B$19/$AD$4*AF4)</f>
        <v>23725</v>
      </c>
      <c r="AJ4" s="33" t="str">
        <f>Master!$A$8</f>
        <v>Kategori Uji 04</v>
      </c>
      <c r="AK4" s="33">
        <f>SUMIFS(AprilTable[Jumlah (Rp)],AprilTable[Tipe],"Pengeluaran",AprilTable[Kategori],AJ4)</f>
        <v>0</v>
      </c>
      <c r="AL4" s="33">
        <f>SUMIFS(MarTable[Jumlah (Rp)],MarTable[Tipe],"Pengeluaran",MarTable[Kategori],AJ4)</f>
        <v>0</v>
      </c>
      <c r="AM4" s="33">
        <f t="shared" si="0"/>
        <v>3.9999999999999998E-6</v>
      </c>
      <c r="AN4" s="33">
        <f>SUMPRODUCT(MAX(($AM$1:$AM$23&lt;AN3)*$AM$1:$AM$23))</f>
        <v>2.0000000000000002E-5</v>
      </c>
      <c r="AO4" s="33">
        <f>IFERROR(MATCH(AN4,$AM$1:$AM$23,0),0)</f>
        <v>20</v>
      </c>
    </row>
    <row r="5" spans="1:41" ht="24.75" customHeight="1" x14ac:dyDescent="0.25">
      <c r="A5" s="1" t="s">
        <v>49</v>
      </c>
      <c r="B5" s="1" t="s">
        <v>65</v>
      </c>
      <c r="C5" s="1" t="s">
        <v>66</v>
      </c>
      <c r="D5" s="1" t="s">
        <v>25</v>
      </c>
      <c r="E5" s="1" t="s">
        <v>67</v>
      </c>
      <c r="F5" s="1" t="s">
        <v>61</v>
      </c>
      <c r="K5" s="35" t="s">
        <v>145</v>
      </c>
      <c r="L5" s="36">
        <v>20</v>
      </c>
      <c r="M5" s="39">
        <v>1000000</v>
      </c>
      <c r="N5" s="37">
        <f>SUMIFS(AprilTable[Jumlah (Rp)],AprilTable[Tipe],"Pemasukan",AprilTable[Kategori],"Freelance")</f>
        <v>0</v>
      </c>
      <c r="O5" s="37">
        <f ca="1">IF(OR(N5&gt;0,TODAY()&gt;$AD$2),0,N(M5))</f>
        <v>0</v>
      </c>
      <c r="P5" s="35" t="str">
        <f ca="1">IF(N5&gt;0,"sudah cair",IF(TODAY()&gt;$AD$2,"bulan sudah lewat",IF(N(M5)=0,"isi estimasi dulu","menunggu tgl 28")))</f>
        <v>bulan sudah lewat</v>
      </c>
      <c r="Q5" s="33"/>
      <c r="R5" s="36">
        <v>3</v>
      </c>
      <c r="S5" s="38">
        <f>IF($AE$8=0,"",INDEX(AprilTable[Tanggal],$AE$8))</f>
        <v>0</v>
      </c>
      <c r="T5" s="35">
        <f>IF($AE$8=0,"",INDEX(AprilTable[Kategori],$AE$8))</f>
        <v>0</v>
      </c>
      <c r="U5" s="37">
        <f>IF($AE$8=0,"",INDEX(AprilTable[Jumlah (Rp)],$AE$8))</f>
        <v>0</v>
      </c>
      <c r="V5" s="35">
        <f>IF($AE$8=0,"",INDEX(AprilTable[Keterangan],$AE$8))</f>
        <v>0</v>
      </c>
      <c r="AD5" s="33"/>
      <c r="AE5" s="33"/>
      <c r="AF5" s="33">
        <v>4</v>
      </c>
      <c r="AG5" s="33">
        <f t="shared" si="1"/>
        <v>46116</v>
      </c>
      <c r="AH5" s="33">
        <f ca="1">IF(OR(AF5&gt;$AD$4,AF5&gt;$AD$3),NA(),SUMIFS(AprilTable[Jumlah (Rp)],AprilTable[Tipe],"Pengeluaran",AprilTable[Tanggal],"&lt;="&amp;AG5))</f>
        <v>0</v>
      </c>
      <c r="AI5" s="33">
        <f>IF(AF5&gt;$AD$4,NA(),Rekap!$B$19/$AD$4*AF5)</f>
        <v>31633.333333333332</v>
      </c>
      <c r="AJ5" s="33" t="str">
        <f>Master!$A$9</f>
        <v>Kategori Uji 05</v>
      </c>
      <c r="AK5" s="33">
        <f>SUMIFS(AprilTable[Jumlah (Rp)],AprilTable[Tipe],"Pengeluaran",AprilTable[Kategori],AJ5)</f>
        <v>0</v>
      </c>
      <c r="AL5" s="33">
        <f>SUMIFS(MarTable[Jumlah (Rp)],MarTable[Tipe],"Pengeluaran",MarTable[Kategori],AJ5)</f>
        <v>0</v>
      </c>
      <c r="AM5" s="33">
        <f t="shared" si="0"/>
        <v>5.0000000000000004E-6</v>
      </c>
      <c r="AN5" s="33">
        <f>SUMPRODUCT(MAX(($AM$1:$AM$23&lt;AN4)*$AM$1:$AM$23))</f>
        <v>1.9000000000000001E-5</v>
      </c>
      <c r="AO5" s="33">
        <f>IFERROR(MATCH(AN5,$AM$1:$AM$23,0),0)</f>
        <v>19</v>
      </c>
    </row>
    <row r="6" spans="1:41" ht="24.75" customHeight="1" x14ac:dyDescent="0.25">
      <c r="A6" s="5"/>
      <c r="B6" s="3"/>
      <c r="C6" s="3"/>
      <c r="D6" s="3"/>
      <c r="E6" s="6"/>
      <c r="F6" s="3"/>
      <c r="K6" s="40" t="s">
        <v>21</v>
      </c>
      <c r="L6" s="41"/>
      <c r="M6" s="42">
        <f>SUM(M3:M5)</f>
        <v>6000000</v>
      </c>
      <c r="N6" s="42">
        <f>SUM(N3:N5)</f>
        <v>0</v>
      </c>
      <c r="O6" s="42">
        <f ca="1">SUM(O3:O5)</f>
        <v>0</v>
      </c>
      <c r="P6" s="41"/>
      <c r="Q6" s="33"/>
      <c r="R6" s="36">
        <v>4</v>
      </c>
      <c r="S6" s="38">
        <f>IF($AE$9=0,"",INDEX(AprilTable[Tanggal],$AE$9))</f>
        <v>0</v>
      </c>
      <c r="T6" s="35">
        <f>IF($AE$9=0,"",INDEX(AprilTable[Kategori],$AE$9))</f>
        <v>0</v>
      </c>
      <c r="U6" s="37">
        <f>IF($AE$9=0,"",INDEX(AprilTable[Jumlah (Rp)],$AE$9))</f>
        <v>0</v>
      </c>
      <c r="V6" s="35">
        <f>IF($AE$9=0,"",INDEX(AprilTable[Keterangan],$AE$9))</f>
        <v>0</v>
      </c>
      <c r="AD6" s="33">
        <f>SUMPRODUCT(MAX((AprilTable[Tipe]="Pengeluaran")*(AprilTable[Jumlah (Rp)]+ROW(AprilTable[Jumlah (Rp)])/1000000)))</f>
        <v>0</v>
      </c>
      <c r="AE6" s="33">
        <f>IFERROR(SUMPRODUCT(MATCH(AD6,(AprilTable[Tipe]="Pengeluaran")*(AprilTable[Jumlah (Rp)]+ROW(AprilTable[Jumlah (Rp)])/1000000),0)),0)</f>
        <v>1</v>
      </c>
      <c r="AF6" s="33">
        <v>5</v>
      </c>
      <c r="AG6" s="33">
        <f t="shared" si="1"/>
        <v>46117</v>
      </c>
      <c r="AH6" s="33">
        <f ca="1">IF(OR(AF6&gt;$AD$4,AF6&gt;$AD$3),NA(),SUMIFS(AprilTable[Jumlah (Rp)],AprilTable[Tipe],"Pengeluaran",AprilTable[Tanggal],"&lt;="&amp;AG6))</f>
        <v>0</v>
      </c>
      <c r="AI6" s="33">
        <f>IF(AF6&gt;$AD$4,NA(),Rekap!$B$19/$AD$4*AF6)</f>
        <v>39541.666666666664</v>
      </c>
      <c r="AJ6" s="33" t="str">
        <f>Master!$A$10</f>
        <v>Kategori Uji 06</v>
      </c>
      <c r="AK6" s="33">
        <f>SUMIFS(AprilTable[Jumlah (Rp)],AprilTable[Tipe],"Pengeluaran",AprilTable[Kategori],AJ6)</f>
        <v>0</v>
      </c>
      <c r="AL6" s="33">
        <f>SUMIFS(MarTable[Jumlah (Rp)],MarTable[Tipe],"Pengeluaran",MarTable[Kategori],AJ6)</f>
        <v>0</v>
      </c>
      <c r="AM6" s="33">
        <f t="shared" si="0"/>
        <v>6.0000000000000002E-6</v>
      </c>
      <c r="AN6" s="33"/>
      <c r="AO6" s="33"/>
    </row>
    <row r="7" spans="1:41" ht="24.75" customHeight="1" x14ac:dyDescent="0.25">
      <c r="A7" s="5"/>
      <c r="B7" s="3"/>
      <c r="C7" s="3"/>
      <c r="D7" s="3"/>
      <c r="E7" s="6"/>
      <c r="F7" s="3"/>
      <c r="K7" s="33"/>
      <c r="L7" s="33"/>
      <c r="M7" s="33"/>
      <c r="N7" s="33"/>
      <c r="O7" s="33"/>
      <c r="P7" s="33"/>
      <c r="Q7" s="33"/>
      <c r="R7" s="36">
        <v>5</v>
      </c>
      <c r="S7" s="38">
        <f>IF($AE$10=0,"",INDEX(AprilTable[Tanggal],$AE$10))</f>
        <v>0</v>
      </c>
      <c r="T7" s="35">
        <f>IF($AE$10=0,"",INDEX(AprilTable[Kategori],$AE$10))</f>
        <v>0</v>
      </c>
      <c r="U7" s="37">
        <f>IF($AE$10=0,"",INDEX(AprilTable[Jumlah (Rp)],$AE$10))</f>
        <v>0</v>
      </c>
      <c r="V7" s="35">
        <f>IF($AE$10=0,"",INDEX(AprilTable[Keterangan],$AE$10))</f>
        <v>0</v>
      </c>
      <c r="AD7" s="33">
        <f>SUMPRODUCT(MAX((AprilTable[Tipe]="Pengeluaran")*((AprilTable[Jumlah (Rp)]+ROW(AprilTable[Jumlah (Rp)])/1000000)&lt;AD6)*(AprilTable[Jumlah (Rp)]+ROW(AprilTable[Jumlah (Rp)])/1000000)))</f>
        <v>0</v>
      </c>
      <c r="AE7" s="33">
        <f>IFERROR(SUMPRODUCT(MATCH(AD7,(AprilTable[Tipe]="Pengeluaran")*(AprilTable[Jumlah (Rp)]+ROW(AprilTable[Jumlah (Rp)])/1000000),0)),0)</f>
        <v>1</v>
      </c>
      <c r="AF7" s="33">
        <v>6</v>
      </c>
      <c r="AG7" s="33">
        <f t="shared" si="1"/>
        <v>46118</v>
      </c>
      <c r="AH7" s="33">
        <f ca="1">IF(OR(AF7&gt;$AD$4,AF7&gt;$AD$3),NA(),SUMIFS(AprilTable[Jumlah (Rp)],AprilTable[Tipe],"Pengeluaran",AprilTable[Tanggal],"&lt;="&amp;AG7))</f>
        <v>0</v>
      </c>
      <c r="AI7" s="33">
        <f>IF(AF7&gt;$AD$4,NA(),Rekap!$B$19/$AD$4*AF7)</f>
        <v>47450</v>
      </c>
      <c r="AJ7" s="33" t="str">
        <f>Master!$A$11</f>
        <v>Kategori Uji 07</v>
      </c>
      <c r="AK7" s="33">
        <f>SUMIFS(AprilTable[Jumlah (Rp)],AprilTable[Tipe],"Pengeluaran",AprilTable[Kategori],AJ7)</f>
        <v>0</v>
      </c>
      <c r="AL7" s="33">
        <f>SUMIFS(MarTable[Jumlah (Rp)],MarTable[Tipe],"Pengeluaran",MarTable[Kategori],AJ7)</f>
        <v>0</v>
      </c>
      <c r="AM7" s="33">
        <f t="shared" si="0"/>
        <v>6.9999999999999999E-6</v>
      </c>
      <c r="AN7" s="33"/>
      <c r="AO7" s="33"/>
    </row>
    <row r="8" spans="1:41" ht="24.75" customHeight="1" x14ac:dyDescent="0.25">
      <c r="A8" s="5"/>
      <c r="B8" s="3"/>
      <c r="C8" s="3"/>
      <c r="D8" s="3"/>
      <c r="E8" s="6"/>
      <c r="F8" s="4"/>
      <c r="K8" s="43" t="s">
        <v>68</v>
      </c>
      <c r="L8" s="33"/>
      <c r="M8" s="33"/>
      <c r="N8" s="33"/>
      <c r="O8" s="33"/>
      <c r="P8" s="33"/>
      <c r="Q8" s="33"/>
      <c r="R8" s="52" t="s">
        <v>69</v>
      </c>
      <c r="S8" s="55"/>
      <c r="T8" s="55"/>
      <c r="U8" s="42">
        <f>SUM(U3:U7)</f>
        <v>0</v>
      </c>
      <c r="V8" s="44">
        <f>IFERROR(U8/$D$3,0)</f>
        <v>0</v>
      </c>
      <c r="AD8" s="33">
        <f>SUMPRODUCT(MAX((AprilTable[Tipe]="Pengeluaran")*((AprilTable[Jumlah (Rp)]+ROW(AprilTable[Jumlah (Rp)])/1000000)&lt;AD7)*(AprilTable[Jumlah (Rp)]+ROW(AprilTable[Jumlah (Rp)])/1000000)))</f>
        <v>0</v>
      </c>
      <c r="AE8" s="33">
        <f>IFERROR(SUMPRODUCT(MATCH(AD8,(AprilTable[Tipe]="Pengeluaran")*(AprilTable[Jumlah (Rp)]+ROW(AprilTable[Jumlah (Rp)])/1000000),0)),0)</f>
        <v>1</v>
      </c>
      <c r="AF8" s="33">
        <v>7</v>
      </c>
      <c r="AG8" s="33">
        <f t="shared" si="1"/>
        <v>46119</v>
      </c>
      <c r="AH8" s="33">
        <f ca="1">IF(OR(AF8&gt;$AD$4,AF8&gt;$AD$3),NA(),SUMIFS(AprilTable[Jumlah (Rp)],AprilTable[Tipe],"Pengeluaran",AprilTable[Tanggal],"&lt;="&amp;AG8))</f>
        <v>0</v>
      </c>
      <c r="AI8" s="33">
        <f>IF(AF8&gt;$AD$4,NA(),Rekap!$B$19/$AD$4*AF8)</f>
        <v>55358.333333333328</v>
      </c>
      <c r="AJ8" s="33" t="str">
        <f>Master!$A$12</f>
        <v>Kategori Uji 08</v>
      </c>
      <c r="AK8" s="33">
        <f>SUMIFS(AprilTable[Jumlah (Rp)],AprilTable[Tipe],"Pengeluaran",AprilTable[Kategori],AJ8)</f>
        <v>0</v>
      </c>
      <c r="AL8" s="33">
        <f>SUMIFS(MarTable[Jumlah (Rp)],MarTable[Tipe],"Pengeluaran",MarTable[Kategori],AJ8)</f>
        <v>0</v>
      </c>
      <c r="AM8" s="33">
        <f t="shared" si="0"/>
        <v>7.9999999999999996E-6</v>
      </c>
      <c r="AN8" s="33"/>
      <c r="AO8" s="33"/>
    </row>
    <row r="9" spans="1:41" ht="24.75" customHeight="1" x14ac:dyDescent="0.25">
      <c r="A9" s="5"/>
      <c r="B9" s="3"/>
      <c r="C9" s="3"/>
      <c r="D9" s="3"/>
      <c r="E9" s="6"/>
      <c r="F9" s="4"/>
      <c r="K9" s="56" t="s">
        <v>61</v>
      </c>
      <c r="L9" s="53"/>
      <c r="M9" s="34" t="s">
        <v>70</v>
      </c>
      <c r="N9" s="33"/>
      <c r="O9" s="33"/>
      <c r="P9" s="33"/>
      <c r="Q9" s="33"/>
      <c r="R9" s="33"/>
      <c r="S9" s="33"/>
      <c r="T9" s="33"/>
      <c r="U9" s="33"/>
      <c r="V9" s="33"/>
      <c r="AD9" s="33">
        <f>SUMPRODUCT(MAX((AprilTable[Tipe]="Pengeluaran")*((AprilTable[Jumlah (Rp)]+ROW(AprilTable[Jumlah (Rp)])/1000000)&lt;AD8)*(AprilTable[Jumlah (Rp)]+ROW(AprilTable[Jumlah (Rp)])/1000000)))</f>
        <v>0</v>
      </c>
      <c r="AE9" s="33">
        <f>IFERROR(SUMPRODUCT(MATCH(AD9,(AprilTable[Tipe]="Pengeluaran")*(AprilTable[Jumlah (Rp)]+ROW(AprilTable[Jumlah (Rp)])/1000000),0)),0)</f>
        <v>1</v>
      </c>
      <c r="AF9" s="33">
        <v>8</v>
      </c>
      <c r="AG9" s="33">
        <f t="shared" si="1"/>
        <v>46120</v>
      </c>
      <c r="AH9" s="33">
        <f ca="1">IF(OR(AF9&gt;$AD$4,AF9&gt;$AD$3),NA(),SUMIFS(AprilTable[Jumlah (Rp)],AprilTable[Tipe],"Pengeluaran",AprilTable[Tanggal],"&lt;="&amp;AG9))</f>
        <v>0</v>
      </c>
      <c r="AI9" s="33">
        <f>IF(AF9&gt;$AD$4,NA(),Rekap!$B$19/$AD$4*AF9)</f>
        <v>63266.666666666664</v>
      </c>
      <c r="AJ9" s="33" t="str">
        <f>Master!$A$13</f>
        <v>Kategori Uji 09</v>
      </c>
      <c r="AK9" s="33">
        <f>SUMIFS(AprilTable[Jumlah (Rp)],AprilTable[Tipe],"Pengeluaran",AprilTable[Kategori],AJ9)</f>
        <v>0</v>
      </c>
      <c r="AL9" s="33">
        <f>SUMIFS(MarTable[Jumlah (Rp)],MarTable[Tipe],"Pengeluaran",MarTable[Kategori],AJ9)</f>
        <v>0</v>
      </c>
      <c r="AM9" s="33">
        <f t="shared" si="0"/>
        <v>9.0000000000000002E-6</v>
      </c>
      <c r="AN9" s="33"/>
      <c r="AO9" s="33"/>
    </row>
    <row r="10" spans="1:41" ht="24.75" customHeight="1" x14ac:dyDescent="0.25">
      <c r="A10" s="5"/>
      <c r="B10" s="3"/>
      <c r="C10" s="3"/>
      <c r="D10" s="3"/>
      <c r="E10" s="6"/>
      <c r="F10" s="4"/>
      <c r="K10" s="54" t="str">
        <f>"Hari kerja "&amp;TEXT($AD$1-1,"mmmm")</f>
        <v>Hari kerja March</v>
      </c>
      <c r="L10" s="53"/>
      <c r="M10" s="45"/>
      <c r="N10" s="33"/>
      <c r="O10" s="33"/>
      <c r="P10" s="33"/>
      <c r="Q10" s="33"/>
      <c r="R10" s="32" t="s">
        <v>71</v>
      </c>
      <c r="S10" s="33"/>
      <c r="T10" s="33"/>
      <c r="U10" s="33"/>
      <c r="V10" s="33"/>
      <c r="AD10" s="33">
        <f>SUMPRODUCT(MAX((AprilTable[Tipe]="Pengeluaran")*((AprilTable[Jumlah (Rp)]+ROW(AprilTable[Jumlah (Rp)])/1000000)&lt;AD9)*(AprilTable[Jumlah (Rp)]+ROW(AprilTable[Jumlah (Rp)])/1000000)))</f>
        <v>0</v>
      </c>
      <c r="AE10" s="33">
        <f>IFERROR(SUMPRODUCT(MATCH(AD10,(AprilTable[Tipe]="Pengeluaran")*(AprilTable[Jumlah (Rp)]+ROW(AprilTable[Jumlah (Rp)])/1000000),0)),0)</f>
        <v>1</v>
      </c>
      <c r="AF10" s="33">
        <v>9</v>
      </c>
      <c r="AG10" s="33">
        <f t="shared" si="1"/>
        <v>46121</v>
      </c>
      <c r="AH10" s="33">
        <f ca="1">IF(OR(AF10&gt;$AD$4,AF10&gt;$AD$3),NA(),SUMIFS(AprilTable[Jumlah (Rp)],AprilTable[Tipe],"Pengeluaran",AprilTable[Tanggal],"&lt;="&amp;AG10))</f>
        <v>0</v>
      </c>
      <c r="AI10" s="33">
        <f>IF(AF10&gt;$AD$4,NA(),Rekap!$B$19/$AD$4*AF10)</f>
        <v>71175</v>
      </c>
      <c r="AJ10" s="33" t="str">
        <f>Master!$A$14</f>
        <v>Kategori Uji 10</v>
      </c>
      <c r="AK10" s="33">
        <f>SUMIFS(AprilTable[Jumlah (Rp)],AprilTable[Tipe],"Pengeluaran",AprilTable[Kategori],AJ10)</f>
        <v>0</v>
      </c>
      <c r="AL10" s="33">
        <f>SUMIFS(MarTable[Jumlah (Rp)],MarTable[Tipe],"Pengeluaran",MarTable[Kategori],AJ10)</f>
        <v>0</v>
      </c>
      <c r="AM10" s="33">
        <f t="shared" si="0"/>
        <v>1.0000000000000001E-5</v>
      </c>
      <c r="AN10" s="33"/>
      <c r="AO10" s="33"/>
    </row>
    <row r="11" spans="1:41" ht="24.75" customHeight="1" x14ac:dyDescent="0.25">
      <c r="A11" s="5"/>
      <c r="B11" s="3"/>
      <c r="C11" s="3"/>
      <c r="D11" s="3"/>
      <c r="E11" s="6"/>
      <c r="F11" s="4"/>
      <c r="K11" s="54" t="s">
        <v>72</v>
      </c>
      <c r="L11" s="53"/>
      <c r="M11" s="39">
        <v>50000</v>
      </c>
      <c r="N11" s="33"/>
      <c r="O11" s="33"/>
      <c r="P11" s="33"/>
      <c r="Q11" s="33"/>
      <c r="R11" s="34" t="s">
        <v>84</v>
      </c>
      <c r="S11" s="34" t="s">
        <v>28</v>
      </c>
      <c r="T11" s="34" t="s">
        <v>12</v>
      </c>
      <c r="U11" s="34" t="s">
        <v>5</v>
      </c>
      <c r="V11" s="34" t="s">
        <v>95</v>
      </c>
      <c r="AD11" s="33"/>
      <c r="AE11" s="33"/>
      <c r="AF11" s="33">
        <v>10</v>
      </c>
      <c r="AG11" s="33">
        <f t="shared" si="1"/>
        <v>46122</v>
      </c>
      <c r="AH11" s="33">
        <f ca="1">IF(OR(AF11&gt;$AD$4,AF11&gt;$AD$3),NA(),SUMIFS(AprilTable[Jumlah (Rp)],AprilTable[Tipe],"Pengeluaran",AprilTable[Tanggal],"&lt;="&amp;AG11))</f>
        <v>0</v>
      </c>
      <c r="AI11" s="33">
        <f>IF(AF11&gt;$AD$4,NA(),Rekap!$B$19/$AD$4*AF11)</f>
        <v>79083.333333333328</v>
      </c>
      <c r="AJ11" s="33" t="str">
        <f>Master!$A$15</f>
        <v>Kategori Uji 11</v>
      </c>
      <c r="AK11" s="33">
        <f>SUMIFS(AprilTable[Jumlah (Rp)],AprilTable[Tipe],"Pengeluaran",AprilTable[Kategori],AJ11)</f>
        <v>0</v>
      </c>
      <c r="AL11" s="33">
        <f>SUMIFS(MarTable[Jumlah (Rp)],MarTable[Tipe],"Pengeluaran",MarTable[Kategori],AJ11)</f>
        <v>0</v>
      </c>
      <c r="AM11" s="33">
        <f t="shared" si="0"/>
        <v>1.1E-5</v>
      </c>
      <c r="AN11" s="33"/>
      <c r="AO11" s="33"/>
    </row>
    <row r="12" spans="1:41" ht="24.75" customHeight="1" x14ac:dyDescent="0.25">
      <c r="A12" s="5"/>
      <c r="B12" s="3"/>
      <c r="C12" s="3"/>
      <c r="D12" s="3"/>
      <c r="E12" s="6"/>
      <c r="F12" s="4"/>
      <c r="H12" s="9" t="s">
        <v>65</v>
      </c>
      <c r="I12" t="s">
        <v>118</v>
      </c>
      <c r="K12" s="33"/>
      <c r="L12" s="33"/>
      <c r="M12" s="33"/>
      <c r="N12" s="33"/>
      <c r="O12" s="33"/>
      <c r="P12" s="33"/>
      <c r="Q12" s="33"/>
      <c r="R12" s="35" t="s">
        <v>3</v>
      </c>
      <c r="S12" s="37">
        <f>SUMIFS(MarTable[Jumlah (Rp)],MarTable[Tipe],"Pemasukan")</f>
        <v>0</v>
      </c>
      <c r="T12" s="37">
        <f>SUMIFS(AprilTable[Jumlah (Rp)],AprilTable[Tipe],"Pemasukan")</f>
        <v>0</v>
      </c>
      <c r="U12" s="37">
        <f>T12-S12</f>
        <v>0</v>
      </c>
      <c r="V12" s="48" t="str">
        <f>IFERROR(U12/S12,"")</f>
        <v/>
      </c>
      <c r="AD12" s="33"/>
      <c r="AE12" s="33"/>
      <c r="AF12" s="33">
        <v>11</v>
      </c>
      <c r="AG12" s="33">
        <f t="shared" si="1"/>
        <v>46123</v>
      </c>
      <c r="AH12" s="33">
        <f ca="1">IF(OR(AF12&gt;$AD$4,AF12&gt;$AD$3),NA(),SUMIFS(AprilTable[Jumlah (Rp)],AprilTable[Tipe],"Pengeluaran",AprilTable[Tanggal],"&lt;="&amp;AG12))</f>
        <v>0</v>
      </c>
      <c r="AI12" s="33">
        <f>IF(AF12&gt;$AD$4,NA(),Rekap!$B$19/$AD$4*AF12)</f>
        <v>86991.666666666657</v>
      </c>
      <c r="AJ12" s="33" t="str">
        <f>Master!$A$16</f>
        <v>Kategori Uji 12</v>
      </c>
      <c r="AK12" s="33">
        <f>SUMIFS(AprilTable[Jumlah (Rp)],AprilTable[Tipe],"Pengeluaran",AprilTable[Kategori],AJ12)</f>
        <v>0</v>
      </c>
      <c r="AL12" s="33">
        <f>SUMIFS(MarTable[Jumlah (Rp)],MarTable[Tipe],"Pengeluaran",MarTable[Kategori],AJ12)</f>
        <v>0</v>
      </c>
      <c r="AM12" s="33">
        <f t="shared" si="0"/>
        <v>1.2E-5</v>
      </c>
      <c r="AN12" s="33"/>
      <c r="AO12" s="33"/>
    </row>
    <row r="13" spans="1:41" ht="24.75" customHeight="1" x14ac:dyDescent="0.25">
      <c r="A13" s="5"/>
      <c r="B13" s="3"/>
      <c r="C13" s="3"/>
      <c r="D13" s="3"/>
      <c r="E13" s="6"/>
      <c r="F13" s="4"/>
      <c r="H13" s="57" t="s">
        <v>74</v>
      </c>
      <c r="I13" s="58"/>
      <c r="K13" s="43" t="s">
        <v>75</v>
      </c>
      <c r="L13" s="33"/>
      <c r="M13" s="33"/>
      <c r="N13" s="33"/>
      <c r="O13" s="33"/>
      <c r="P13" s="33"/>
      <c r="Q13" s="33"/>
      <c r="R13" s="35" t="s">
        <v>4</v>
      </c>
      <c r="S13" s="37">
        <f>SUMIFS(MarTable[Jumlah (Rp)],MarTable[Tipe],"Pengeluaran")</f>
        <v>0</v>
      </c>
      <c r="T13" s="37">
        <f>SUMIFS(AprilTable[Jumlah (Rp)],AprilTable[Tipe],"Pengeluaran")</f>
        <v>0</v>
      </c>
      <c r="U13" s="37">
        <f>T13-S13</f>
        <v>0</v>
      </c>
      <c r="V13" s="48" t="str">
        <f>IFERROR(U13/S13,"")</f>
        <v/>
      </c>
      <c r="AD13" s="33"/>
      <c r="AE13" s="33"/>
      <c r="AF13" s="33">
        <v>12</v>
      </c>
      <c r="AG13" s="33">
        <f t="shared" si="1"/>
        <v>46124</v>
      </c>
      <c r="AH13" s="33">
        <f ca="1">IF(OR(AF13&gt;$AD$4,AF13&gt;$AD$3),NA(),SUMIFS(AprilTable[Jumlah (Rp)],AprilTable[Tipe],"Pengeluaran",AprilTable[Tanggal],"&lt;="&amp;AG13))</f>
        <v>0</v>
      </c>
      <c r="AI13" s="33">
        <f>IF(AF13&gt;$AD$4,NA(),Rekap!$B$19/$AD$4*AF13)</f>
        <v>94900</v>
      </c>
      <c r="AJ13" s="33" t="str">
        <f>Master!$A$17</f>
        <v>Kategori Uji 13</v>
      </c>
      <c r="AK13" s="33">
        <f>SUMIFS(AprilTable[Jumlah (Rp)],AprilTable[Tipe],"Pengeluaran",AprilTable[Kategori],AJ13)</f>
        <v>0</v>
      </c>
      <c r="AL13" s="33">
        <f>SUMIFS(MarTable[Jumlah (Rp)],MarTable[Tipe],"Pengeluaran",MarTable[Kategori],AJ13)</f>
        <v>0</v>
      </c>
      <c r="AM13" s="33">
        <f t="shared" si="0"/>
        <v>1.2999999999999999E-5</v>
      </c>
      <c r="AN13" s="33"/>
      <c r="AO13" s="33"/>
    </row>
    <row r="14" spans="1:41" ht="24.75" customHeight="1" x14ac:dyDescent="0.25">
      <c r="A14" s="5"/>
      <c r="B14" s="3"/>
      <c r="C14" s="3"/>
      <c r="D14" s="3"/>
      <c r="E14" s="6"/>
      <c r="F14" s="4"/>
      <c r="H14" s="9" t="s">
        <v>25</v>
      </c>
      <c r="I14" t="s">
        <v>76</v>
      </c>
      <c r="K14" s="56" t="s">
        <v>61</v>
      </c>
      <c r="L14" s="53"/>
      <c r="M14" s="34" t="s">
        <v>70</v>
      </c>
      <c r="N14" s="33"/>
      <c r="O14" s="33"/>
      <c r="P14" s="33"/>
      <c r="Q14" s="33"/>
      <c r="R14" s="35" t="s">
        <v>96</v>
      </c>
      <c r="S14" s="47">
        <f>COUNTA(MarTable[Tanggal])</f>
        <v>0</v>
      </c>
      <c r="T14" s="47">
        <f>COUNTA(AprilTable[Tanggal])</f>
        <v>0</v>
      </c>
      <c r="U14" s="47">
        <f>T14-S14</f>
        <v>0</v>
      </c>
      <c r="V14" s="48" t="str">
        <f>IFERROR(U14/S14,"")</f>
        <v/>
      </c>
      <c r="AD14" s="33"/>
      <c r="AE14" s="33"/>
      <c r="AF14" s="33">
        <v>13</v>
      </c>
      <c r="AG14" s="33">
        <f t="shared" si="1"/>
        <v>46125</v>
      </c>
      <c r="AH14" s="33">
        <f ca="1">IF(OR(AF14&gt;$AD$4,AF14&gt;$AD$3),NA(),SUMIFS(AprilTable[Jumlah (Rp)],AprilTable[Tipe],"Pengeluaran",AprilTable[Tanggal],"&lt;="&amp;AG14))</f>
        <v>0</v>
      </c>
      <c r="AI14" s="33">
        <f>IF(AF14&gt;$AD$4,NA(),Rekap!$B$19/$AD$4*AF14)</f>
        <v>102808.33333333333</v>
      </c>
      <c r="AJ14" s="33" t="str">
        <f>Master!$A$18</f>
        <v>Kategori Uji 14</v>
      </c>
      <c r="AK14" s="33">
        <f>SUMIFS(AprilTable[Jumlah (Rp)],AprilTable[Tipe],"Pengeluaran",AprilTable[Kategori],AJ14)</f>
        <v>0</v>
      </c>
      <c r="AL14" s="33">
        <f>SUMIFS(MarTable[Jumlah (Rp)],MarTable[Tipe],"Pengeluaran",MarTable[Kategori],AJ14)</f>
        <v>0</v>
      </c>
      <c r="AM14" s="33">
        <f t="shared" si="0"/>
        <v>1.4E-5</v>
      </c>
      <c r="AN14" s="33"/>
      <c r="AO14" s="33"/>
    </row>
    <row r="15" spans="1:41" ht="24.75" customHeight="1" x14ac:dyDescent="0.25">
      <c r="A15" s="5"/>
      <c r="B15" s="3"/>
      <c r="C15" s="3"/>
      <c r="D15" s="3"/>
      <c r="E15" s="6"/>
      <c r="F15" s="4"/>
      <c r="H15" s="10" t="s">
        <v>119</v>
      </c>
      <c r="I15" s="7"/>
      <c r="K15" s="54" t="s">
        <v>77</v>
      </c>
      <c r="L15" s="53"/>
      <c r="M15" s="37">
        <f>D2</f>
        <v>0</v>
      </c>
      <c r="N15" s="33"/>
      <c r="O15" s="33"/>
      <c r="P15" s="33"/>
      <c r="Q15" s="33"/>
      <c r="R15" s="35" t="s">
        <v>97</v>
      </c>
      <c r="S15" s="37">
        <f>IFERROR(S13/S14,0)</f>
        <v>0</v>
      </c>
      <c r="T15" s="37">
        <f>IFERROR(T13/T14,0)</f>
        <v>0</v>
      </c>
      <c r="U15" s="37">
        <f>T15-S15</f>
        <v>0</v>
      </c>
      <c r="V15" s="48" t="str">
        <f>IFERROR(U15/S15,"")</f>
        <v/>
      </c>
      <c r="AD15" s="33"/>
      <c r="AE15" s="33"/>
      <c r="AF15" s="33">
        <v>14</v>
      </c>
      <c r="AG15" s="33">
        <f t="shared" si="1"/>
        <v>46126</v>
      </c>
      <c r="AH15" s="33">
        <f ca="1">IF(OR(AF15&gt;$AD$4,AF15&gt;$AD$3),NA(),SUMIFS(AprilTable[Jumlah (Rp)],AprilTable[Tipe],"Pengeluaran",AprilTable[Tanggal],"&lt;="&amp;AG15))</f>
        <v>0</v>
      </c>
      <c r="AI15" s="33">
        <f>IF(AF15&gt;$AD$4,NA(),Rekap!$B$19/$AD$4*AF15)</f>
        <v>110716.66666666666</v>
      </c>
      <c r="AJ15" s="33" t="str">
        <f>Master!$A$19</f>
        <v>Kategori Uji 15</v>
      </c>
      <c r="AK15" s="33">
        <f>SUMIFS(AprilTable[Jumlah (Rp)],AprilTable[Tipe],"Pengeluaran",AprilTable[Kategori],AJ15)</f>
        <v>0</v>
      </c>
      <c r="AL15" s="33">
        <f>SUMIFS(MarTable[Jumlah (Rp)],MarTable[Tipe],"Pengeluaran",MarTable[Kategori],AJ15)</f>
        <v>0</v>
      </c>
      <c r="AM15" s="33">
        <f t="shared" si="0"/>
        <v>1.5E-5</v>
      </c>
      <c r="AN15" s="33"/>
      <c r="AO15" s="33"/>
    </row>
    <row r="16" spans="1:41" ht="24.75" customHeight="1" x14ac:dyDescent="0.25">
      <c r="A16" s="5"/>
      <c r="B16" s="3"/>
      <c r="C16" s="3"/>
      <c r="D16" s="3"/>
      <c r="E16" s="6"/>
      <c r="F16" s="4"/>
      <c r="H16" s="10" t="s">
        <v>92</v>
      </c>
      <c r="I16" s="7"/>
      <c r="K16" s="54" t="s">
        <v>57</v>
      </c>
      <c r="L16" s="53"/>
      <c r="M16" s="37">
        <f ca="1">O6</f>
        <v>0</v>
      </c>
      <c r="N16" s="33"/>
      <c r="O16" s="33"/>
      <c r="P16" s="33"/>
      <c r="Q16" s="33"/>
      <c r="R16" s="33"/>
      <c r="S16" s="33"/>
      <c r="T16" s="33"/>
      <c r="U16" s="33"/>
      <c r="V16" s="33"/>
      <c r="AD16" s="33"/>
      <c r="AE16" s="33"/>
      <c r="AF16" s="33">
        <v>15</v>
      </c>
      <c r="AG16" s="33">
        <f t="shared" si="1"/>
        <v>46127</v>
      </c>
      <c r="AH16" s="33">
        <f ca="1">IF(OR(AF16&gt;$AD$4,AF16&gt;$AD$3),NA(),SUMIFS(AprilTable[Jumlah (Rp)],AprilTable[Tipe],"Pengeluaran",AprilTable[Tanggal],"&lt;="&amp;AG16))</f>
        <v>0</v>
      </c>
      <c r="AI16" s="33">
        <f>IF(AF16&gt;$AD$4,NA(),Rekap!$B$19/$AD$4*AF16)</f>
        <v>118625</v>
      </c>
      <c r="AJ16" s="33" t="str">
        <f>Master!$A$20</f>
        <v>Kategori Uji 16</v>
      </c>
      <c r="AK16" s="33">
        <f>SUMIFS(AprilTable[Jumlah (Rp)],AprilTable[Tipe],"Pengeluaran",AprilTable[Kategori],AJ16)</f>
        <v>0</v>
      </c>
      <c r="AL16" s="33">
        <f>SUMIFS(MarTable[Jumlah (Rp)],MarTable[Tipe],"Pengeluaran",MarTable[Kategori],AJ16)</f>
        <v>0</v>
      </c>
      <c r="AM16" s="33">
        <f t="shared" si="0"/>
        <v>1.5999999999999999E-5</v>
      </c>
      <c r="AN16" s="33"/>
      <c r="AO16" s="33"/>
    </row>
    <row r="17" spans="1:41" ht="24.75" customHeight="1" x14ac:dyDescent="0.25">
      <c r="A17" s="5"/>
      <c r="B17" s="3"/>
      <c r="C17" s="3"/>
      <c r="D17" s="3"/>
      <c r="E17" s="6"/>
      <c r="F17" s="4"/>
      <c r="K17" s="54" t="s">
        <v>78</v>
      </c>
      <c r="L17" s="53"/>
      <c r="M17" s="37">
        <f ca="1">M15+M16</f>
        <v>0</v>
      </c>
      <c r="N17" s="33"/>
      <c r="O17" s="33"/>
      <c r="P17" s="33"/>
      <c r="Q17" s="33"/>
      <c r="R17" s="43" t="s">
        <v>98</v>
      </c>
      <c r="S17" s="33"/>
      <c r="T17" s="33"/>
      <c r="U17" s="33"/>
      <c r="V17" s="33"/>
      <c r="AD17" s="33"/>
      <c r="AE17" s="33"/>
      <c r="AF17" s="33">
        <v>16</v>
      </c>
      <c r="AG17" s="33">
        <f t="shared" si="1"/>
        <v>46128</v>
      </c>
      <c r="AH17" s="33">
        <f ca="1">IF(OR(AF17&gt;$AD$4,AF17&gt;$AD$3),NA(),SUMIFS(AprilTable[Jumlah (Rp)],AprilTable[Tipe],"Pengeluaran",AprilTable[Tanggal],"&lt;="&amp;AG17))</f>
        <v>0</v>
      </c>
      <c r="AI17" s="33">
        <f>IF(AF17&gt;$AD$4,NA(),Rekap!$B$19/$AD$4*AF17)</f>
        <v>126533.33333333333</v>
      </c>
      <c r="AJ17" s="33" t="str">
        <f>Master!$A$21</f>
        <v>Kategori Uji 17</v>
      </c>
      <c r="AK17" s="33">
        <f>SUMIFS(AprilTable[Jumlah (Rp)],AprilTable[Tipe],"Pengeluaran",AprilTable[Kategori],AJ17)</f>
        <v>0</v>
      </c>
      <c r="AL17" s="33">
        <f>SUMIFS(MarTable[Jumlah (Rp)],MarTable[Tipe],"Pengeluaran",MarTable[Kategori],AJ17)</f>
        <v>0</v>
      </c>
      <c r="AM17" s="33">
        <f t="shared" si="0"/>
        <v>1.7E-5</v>
      </c>
      <c r="AN17" s="33"/>
      <c r="AO17" s="33"/>
    </row>
    <row r="18" spans="1:41" ht="24.75" customHeight="1" x14ac:dyDescent="0.25">
      <c r="A18" s="5"/>
      <c r="B18" s="3"/>
      <c r="C18" s="3"/>
      <c r="D18" s="3"/>
      <c r="E18" s="6"/>
      <c r="F18" s="4"/>
      <c r="K18" s="54" t="s">
        <v>79</v>
      </c>
      <c r="L18" s="53"/>
      <c r="M18" s="37">
        <f ca="1">M29</f>
        <v>0</v>
      </c>
      <c r="N18" s="33"/>
      <c r="O18" s="33"/>
      <c r="P18" s="33"/>
      <c r="Q18" s="33"/>
      <c r="R18" s="34" t="s">
        <v>25</v>
      </c>
      <c r="S18" s="34" t="s">
        <v>28</v>
      </c>
      <c r="T18" s="34" t="s">
        <v>12</v>
      </c>
      <c r="U18" s="34" t="s">
        <v>5</v>
      </c>
      <c r="V18" s="34" t="s">
        <v>95</v>
      </c>
      <c r="AD18" s="33"/>
      <c r="AE18" s="33"/>
      <c r="AF18" s="33">
        <v>17</v>
      </c>
      <c r="AG18" s="33">
        <f t="shared" si="1"/>
        <v>46129</v>
      </c>
      <c r="AH18" s="33">
        <f ca="1">IF(OR(AF18&gt;$AD$4,AF18&gt;$AD$3),NA(),SUMIFS(AprilTable[Jumlah (Rp)],AprilTable[Tipe],"Pengeluaran",AprilTable[Tanggal],"&lt;="&amp;AG18))</f>
        <v>0</v>
      </c>
      <c r="AI18" s="33">
        <f>IF(AF18&gt;$AD$4,NA(),Rekap!$B$19/$AD$4*AF18)</f>
        <v>134441.66666666666</v>
      </c>
      <c r="AJ18" s="33" t="str">
        <f>Master!$A$22</f>
        <v>Kategori Uji 18</v>
      </c>
      <c r="AK18" s="33">
        <f>SUMIFS(AprilTable[Jumlah (Rp)],AprilTable[Tipe],"Pengeluaran",AprilTable[Kategori],AJ18)</f>
        <v>0</v>
      </c>
      <c r="AL18" s="33">
        <f>SUMIFS(MarTable[Jumlah (Rp)],MarTable[Tipe],"Pengeluaran",MarTable[Kategori],AJ18)</f>
        <v>0</v>
      </c>
      <c r="AM18" s="33">
        <f t="shared" si="0"/>
        <v>1.8E-5</v>
      </c>
      <c r="AN18" s="33"/>
      <c r="AO18" s="33"/>
    </row>
    <row r="19" spans="1:41" ht="24.75" customHeight="1" x14ac:dyDescent="0.25">
      <c r="A19" s="5"/>
      <c r="B19" s="3"/>
      <c r="C19" s="3"/>
      <c r="D19" s="3"/>
      <c r="E19" s="6"/>
      <c r="F19" s="4"/>
      <c r="K19" s="52" t="s">
        <v>80</v>
      </c>
      <c r="L19" s="53"/>
      <c r="M19" s="42">
        <f ca="1">M17-M18</f>
        <v>0</v>
      </c>
      <c r="N19" s="33"/>
      <c r="O19" s="33"/>
      <c r="P19" s="33"/>
      <c r="Q19" s="33"/>
      <c r="R19" s="35" t="str">
        <f>IF($AO$1=0,"",INDEX($AJ$1:$AJ$23,$AO$1))</f>
        <v>Kategori Uji 24</v>
      </c>
      <c r="S19" s="37">
        <f>IF($AO$1=0,"",INDEX($AL$1:$AL$23,$AO$1))</f>
        <v>0</v>
      </c>
      <c r="T19" s="37">
        <f>IF($AO$1=0,"",INDEX($AK$1:$AK$23,$AO$1))</f>
        <v>0</v>
      </c>
      <c r="U19" s="37">
        <f>IF($R19="","",T19-S19)</f>
        <v>0</v>
      </c>
      <c r="V19" s="48" t="str">
        <f>IFERROR(U19/S19,"")</f>
        <v/>
      </c>
      <c r="AD19" s="33"/>
      <c r="AE19" s="33"/>
      <c r="AF19" s="33">
        <v>18</v>
      </c>
      <c r="AG19" s="33">
        <f t="shared" si="1"/>
        <v>46130</v>
      </c>
      <c r="AH19" s="33">
        <f ca="1">IF(OR(AF19&gt;$AD$4,AF19&gt;$AD$3),NA(),SUMIFS(AprilTable[Jumlah (Rp)],AprilTable[Tipe],"Pengeluaran",AprilTable[Tanggal],"&lt;="&amp;AG19))</f>
        <v>0</v>
      </c>
      <c r="AI19" s="33">
        <f>IF(AF19&gt;$AD$4,NA(),Rekap!$B$19/$AD$4*AF19)</f>
        <v>142350</v>
      </c>
      <c r="AJ19" s="33" t="str">
        <f>Master!$A$23</f>
        <v>Kategori Uji 19</v>
      </c>
      <c r="AK19" s="33">
        <f>SUMIFS(AprilTable[Jumlah (Rp)],AprilTable[Tipe],"Pengeluaran",AprilTable[Kategori],AJ19)</f>
        <v>0</v>
      </c>
      <c r="AL19" s="33">
        <f>SUMIFS(MarTable[Jumlah (Rp)],MarTable[Tipe],"Pengeluaran",MarTable[Kategori],AJ19)</f>
        <v>0</v>
      </c>
      <c r="AM19" s="33">
        <f t="shared" si="0"/>
        <v>1.9000000000000001E-5</v>
      </c>
      <c r="AN19" s="33"/>
      <c r="AO19" s="33"/>
    </row>
    <row r="20" spans="1:41" ht="24.75" customHeight="1" x14ac:dyDescent="0.25">
      <c r="A20" s="5"/>
      <c r="B20" s="3"/>
      <c r="C20" s="3"/>
      <c r="D20" s="3"/>
      <c r="E20" s="6"/>
      <c r="F20" s="4"/>
      <c r="K20" s="52" t="s">
        <v>81</v>
      </c>
      <c r="L20" s="53"/>
      <c r="M20" s="42">
        <f ca="1">D1+M17-M18</f>
        <v>0</v>
      </c>
      <c r="N20" s="33"/>
      <c r="O20" s="33"/>
      <c r="P20" s="33"/>
      <c r="Q20" s="33"/>
      <c r="R20" s="35" t="str">
        <f>IF($AO$2=0,"",INDEX($AJ$1:$AJ$23,$AO$2))</f>
        <v>Kategori Uji 23</v>
      </c>
      <c r="S20" s="37">
        <f>IF($AO$2=0,"",INDEX($AL$1:$AL$23,$AO$2))</f>
        <v>0</v>
      </c>
      <c r="T20" s="37">
        <f>IF($AO$2=0,"",INDEX($AK$1:$AK$23,$AO$2))</f>
        <v>0</v>
      </c>
      <c r="U20" s="37">
        <f>IF($R20="","",T20-S20)</f>
        <v>0</v>
      </c>
      <c r="V20" s="48" t="str">
        <f>IFERROR(U20/S20,"")</f>
        <v/>
      </c>
      <c r="AD20" s="33"/>
      <c r="AE20" s="33"/>
      <c r="AF20" s="33">
        <v>19</v>
      </c>
      <c r="AG20" s="33">
        <f t="shared" si="1"/>
        <v>46131</v>
      </c>
      <c r="AH20" s="33">
        <f ca="1">IF(OR(AF20&gt;$AD$4,AF20&gt;$AD$3),NA(),SUMIFS(AprilTable[Jumlah (Rp)],AprilTable[Tipe],"Pengeluaran",AprilTable[Tanggal],"&lt;="&amp;AG20))</f>
        <v>0</v>
      </c>
      <c r="AI20" s="33">
        <f>IF(AF20&gt;$AD$4,NA(),Rekap!$B$19/$AD$4*AF20)</f>
        <v>150258.33333333331</v>
      </c>
      <c r="AJ20" s="33" t="str">
        <f>Master!$A$24</f>
        <v>Kategori Uji 20</v>
      </c>
      <c r="AK20" s="33">
        <f>SUMIFS(AprilTable[Jumlah (Rp)],AprilTable[Tipe],"Pengeluaran",AprilTable[Kategori],AJ20)</f>
        <v>0</v>
      </c>
      <c r="AL20" s="33">
        <f>SUMIFS(MarTable[Jumlah (Rp)],MarTable[Tipe],"Pengeluaran",MarTable[Kategori],AJ20)</f>
        <v>0</v>
      </c>
      <c r="AM20" s="33">
        <f t="shared" si="0"/>
        <v>2.0000000000000002E-5</v>
      </c>
      <c r="AN20" s="33"/>
      <c r="AO20" s="33"/>
    </row>
    <row r="21" spans="1:41" ht="24.75" customHeight="1" x14ac:dyDescent="0.25">
      <c r="A21" s="5"/>
      <c r="B21" s="3"/>
      <c r="C21" s="3"/>
      <c r="D21" s="3"/>
      <c r="E21" s="6"/>
      <c r="F21" s="4"/>
      <c r="K21" s="46" t="s">
        <v>82</v>
      </c>
      <c r="L21" s="33"/>
      <c r="M21" s="33"/>
      <c r="N21" s="33"/>
      <c r="O21" s="33"/>
      <c r="P21" s="33"/>
      <c r="Q21" s="33"/>
      <c r="R21" s="35" t="str">
        <f>IF($AO$3=0,"",INDEX($AJ$1:$AJ$23,$AO$3))</f>
        <v>Kategori Uji 21</v>
      </c>
      <c r="S21" s="37">
        <f>IF($AO$3=0,"",INDEX($AL$1:$AL$23,$AO$3))</f>
        <v>0</v>
      </c>
      <c r="T21" s="37">
        <f>IF($AO$3=0,"",INDEX($AK$1:$AK$23,$AO$3))</f>
        <v>0</v>
      </c>
      <c r="U21" s="37">
        <f>IF($R21="","",T21-S21)</f>
        <v>0</v>
      </c>
      <c r="V21" s="48" t="str">
        <f>IFERROR(U21/S21,"")</f>
        <v/>
      </c>
      <c r="AD21" s="33"/>
      <c r="AE21" s="33"/>
      <c r="AF21" s="33">
        <v>20</v>
      </c>
      <c r="AG21" s="33">
        <f t="shared" si="1"/>
        <v>46132</v>
      </c>
      <c r="AH21" s="33">
        <f ca="1">IF(OR(AF21&gt;$AD$4,AF21&gt;$AD$3),NA(),SUMIFS(AprilTable[Jumlah (Rp)],AprilTable[Tipe],"Pengeluaran",AprilTable[Tanggal],"&lt;="&amp;AG21))</f>
        <v>0</v>
      </c>
      <c r="AI21" s="33">
        <f>IF(AF21&gt;$AD$4,NA(),Rekap!$B$19/$AD$4*AF21)</f>
        <v>158166.66666666666</v>
      </c>
      <c r="AJ21" s="33" t="str">
        <f>Master!$A$25</f>
        <v>Kategori Uji 21</v>
      </c>
      <c r="AK21" s="33">
        <f>SUMIFS(AprilTable[Jumlah (Rp)],AprilTable[Tipe],"Pengeluaran",AprilTable[Kategori],AJ21)</f>
        <v>0</v>
      </c>
      <c r="AL21" s="33">
        <f>SUMIFS(MarTable[Jumlah (Rp)],MarTable[Tipe],"Pengeluaran",MarTable[Kategori],AJ21)</f>
        <v>0</v>
      </c>
      <c r="AM21" s="33">
        <f t="shared" si="0"/>
        <v>2.0999999999999999E-5</v>
      </c>
      <c r="AN21" s="33"/>
      <c r="AO21" s="33"/>
    </row>
    <row r="22" spans="1:41" ht="24.75" customHeight="1" x14ac:dyDescent="0.25">
      <c r="A22" s="5"/>
      <c r="B22" s="3"/>
      <c r="C22" s="3"/>
      <c r="D22" s="3"/>
      <c r="E22" s="6"/>
      <c r="F22" s="4"/>
      <c r="K22" s="33"/>
      <c r="L22" s="33"/>
      <c r="M22" s="33"/>
      <c r="N22" s="33"/>
      <c r="O22" s="33"/>
      <c r="P22" s="33"/>
      <c r="Q22" s="33"/>
      <c r="R22" s="35" t="str">
        <f>IF($AO$4=0,"",INDEX($AJ$1:$AJ$23,$AO$4))</f>
        <v>Kategori Uji 20</v>
      </c>
      <c r="S22" s="37">
        <f>IF($AO$4=0,"",INDEX($AL$1:$AL$23,$AO$4))</f>
        <v>0</v>
      </c>
      <c r="T22" s="37">
        <f>IF($AO$4=0,"",INDEX($AK$1:$AK$23,$AO$4))</f>
        <v>0</v>
      </c>
      <c r="U22" s="37">
        <f>IF($R22="","",T22-S22)</f>
        <v>0</v>
      </c>
      <c r="V22" s="48" t="str">
        <f>IFERROR(U22/S22,"")</f>
        <v/>
      </c>
      <c r="AD22" s="33"/>
      <c r="AE22" s="33"/>
      <c r="AF22" s="33">
        <v>21</v>
      </c>
      <c r="AG22" s="33">
        <f t="shared" si="1"/>
        <v>46133</v>
      </c>
      <c r="AH22" s="33">
        <f ca="1">IF(OR(AF22&gt;$AD$4,AF22&gt;$AD$3),NA(),SUMIFS(AprilTable[Jumlah (Rp)],AprilTable[Tipe],"Pengeluaran",AprilTable[Tanggal],"&lt;="&amp;AG22))</f>
        <v>0</v>
      </c>
      <c r="AI22" s="33">
        <f>IF(AF22&gt;$AD$4,NA(),Rekap!$B$19/$AD$4*AF22)</f>
        <v>166075</v>
      </c>
      <c r="AJ22" s="33" t="str">
        <f>Master!$A$27</f>
        <v>Kategori Uji 23</v>
      </c>
      <c r="AK22" s="33">
        <f>SUMIFS(AprilTable[Jumlah (Rp)],AprilTable[Tipe],"Pengeluaran",AprilTable[Kategori],AJ22)</f>
        <v>0</v>
      </c>
      <c r="AL22" s="33">
        <f>SUMIFS(MarTable[Jumlah (Rp)],MarTable[Tipe],"Pengeluaran",MarTable[Kategori],AJ22)</f>
        <v>0</v>
      </c>
      <c r="AM22" s="33">
        <f t="shared" si="0"/>
        <v>2.1999999999999999E-5</v>
      </c>
      <c r="AN22" s="33"/>
      <c r="AO22" s="33"/>
    </row>
    <row r="23" spans="1:41" ht="24.75" customHeight="1" x14ac:dyDescent="0.25">
      <c r="A23" s="5"/>
      <c r="B23" s="3"/>
      <c r="C23" s="3"/>
      <c r="D23" s="3"/>
      <c r="E23" s="6"/>
      <c r="F23" s="4"/>
      <c r="K23" s="32" t="s">
        <v>83</v>
      </c>
      <c r="L23" s="33"/>
      <c r="M23" s="33"/>
      <c r="N23" s="33"/>
      <c r="O23" s="33"/>
      <c r="P23" s="33"/>
      <c r="Q23" s="33"/>
      <c r="R23" s="35" t="str">
        <f>IF($AO$5=0,"",INDEX($AJ$1:$AJ$23,$AO$5))</f>
        <v>Kategori Uji 19</v>
      </c>
      <c r="S23" s="37">
        <f>IF($AO$5=0,"",INDEX($AL$1:$AL$23,$AO$5))</f>
        <v>0</v>
      </c>
      <c r="T23" s="37">
        <f>IF($AO$5=0,"",INDEX($AK$1:$AK$23,$AO$5))</f>
        <v>0</v>
      </c>
      <c r="U23" s="37">
        <f>IF($R23="","",T23-S23)</f>
        <v>0</v>
      </c>
      <c r="V23" s="48" t="str">
        <f>IFERROR(U23/S23,"")</f>
        <v/>
      </c>
      <c r="AD23" s="33"/>
      <c r="AE23" s="33"/>
      <c r="AF23" s="33">
        <v>22</v>
      </c>
      <c r="AG23" s="33">
        <f t="shared" si="1"/>
        <v>46134</v>
      </c>
      <c r="AH23" s="33">
        <f ca="1">IF(OR(AF23&gt;$AD$4,AF23&gt;$AD$3),NA(),SUMIFS(AprilTable[Jumlah (Rp)],AprilTable[Tipe],"Pengeluaran",AprilTable[Tanggal],"&lt;="&amp;AG23))</f>
        <v>0</v>
      </c>
      <c r="AI23" s="33">
        <f>IF(AF23&gt;$AD$4,NA(),Rekap!$B$19/$AD$4*AF23)</f>
        <v>173983.33333333331</v>
      </c>
      <c r="AJ23" s="33" t="str">
        <f>Master!$A$28</f>
        <v>Kategori Uji 24</v>
      </c>
      <c r="AK23" s="33">
        <f>SUMIFS(AprilTable[Jumlah (Rp)],AprilTable[Tipe],"Pengeluaran",AprilTable[Kategori],AJ23)</f>
        <v>0</v>
      </c>
      <c r="AL23" s="33">
        <f>SUMIFS(MarTable[Jumlah (Rp)],MarTable[Tipe],"Pengeluaran",MarTable[Kategori],AJ23)</f>
        <v>0</v>
      </c>
      <c r="AM23" s="33">
        <f t="shared" si="0"/>
        <v>2.3E-5</v>
      </c>
      <c r="AN23" s="33"/>
      <c r="AO23" s="33"/>
    </row>
    <row r="24" spans="1:41" ht="24.75" customHeight="1" x14ac:dyDescent="0.25">
      <c r="A24" s="5"/>
      <c r="B24" s="3"/>
      <c r="C24" s="3"/>
      <c r="D24" s="3"/>
      <c r="E24" s="6"/>
      <c r="F24" s="4"/>
      <c r="K24" s="56" t="s">
        <v>84</v>
      </c>
      <c r="L24" s="53"/>
      <c r="M24" s="34" t="s">
        <v>70</v>
      </c>
      <c r="N24" s="33"/>
      <c r="O24" s="33"/>
      <c r="P24" s="33"/>
      <c r="Q24" s="33"/>
      <c r="R24" s="33"/>
      <c r="S24" s="33"/>
      <c r="T24" s="33"/>
      <c r="U24" s="33"/>
      <c r="V24" s="33"/>
      <c r="AD24" s="33"/>
      <c r="AE24" s="33"/>
      <c r="AF24" s="33">
        <v>23</v>
      </c>
      <c r="AG24" s="33">
        <f t="shared" si="1"/>
        <v>46135</v>
      </c>
      <c r="AH24" s="33">
        <f ca="1">IF(OR(AF24&gt;$AD$4,AF24&gt;$AD$3),NA(),SUMIFS(AprilTable[Jumlah (Rp)],AprilTable[Tipe],"Pengeluaran",AprilTable[Tanggal],"&lt;="&amp;AG24))</f>
        <v>0</v>
      </c>
      <c r="AI24" s="33">
        <f>IF(AF24&gt;$AD$4,NA(),Rekap!$B$19/$AD$4*AF24)</f>
        <v>181891.66666666666</v>
      </c>
      <c r="AJ24" s="33"/>
      <c r="AK24" s="33"/>
      <c r="AL24" s="33"/>
      <c r="AM24" s="33"/>
      <c r="AN24" s="33"/>
      <c r="AO24" s="33"/>
    </row>
    <row r="25" spans="1:41" ht="24.75" customHeight="1" x14ac:dyDescent="0.25">
      <c r="A25" s="5"/>
      <c r="B25" s="3"/>
      <c r="C25" s="3"/>
      <c r="D25" s="3"/>
      <c r="E25" s="6"/>
      <c r="F25" s="4"/>
      <c r="K25" s="54" t="s">
        <v>85</v>
      </c>
      <c r="L25" s="53"/>
      <c r="M25" s="47">
        <f ca="1">AD3</f>
        <v>30</v>
      </c>
      <c r="N25" s="33"/>
      <c r="O25" s="33"/>
      <c r="P25" s="33"/>
      <c r="Q25" s="33"/>
      <c r="R25" s="32" t="s">
        <v>86</v>
      </c>
      <c r="S25" s="33"/>
      <c r="T25" s="33"/>
      <c r="U25" s="33"/>
      <c r="V25" s="33"/>
      <c r="AD25" s="33"/>
      <c r="AE25" s="33"/>
      <c r="AF25" s="33">
        <v>24</v>
      </c>
      <c r="AG25" s="33">
        <f t="shared" si="1"/>
        <v>46136</v>
      </c>
      <c r="AH25" s="33">
        <f ca="1">IF(OR(AF25&gt;$AD$4,AF25&gt;$AD$3),NA(),SUMIFS(AprilTable[Jumlah (Rp)],AprilTable[Tipe],"Pengeluaran",AprilTable[Tanggal],"&lt;="&amp;AG25))</f>
        <v>0</v>
      </c>
      <c r="AI25" s="33">
        <f>IF(AF25&gt;$AD$4,NA(),Rekap!$B$19/$AD$4*AF25)</f>
        <v>189800</v>
      </c>
      <c r="AJ25" s="33"/>
      <c r="AK25" s="33"/>
      <c r="AL25" s="33"/>
      <c r="AM25" s="33"/>
      <c r="AN25" s="33"/>
      <c r="AO25" s="33"/>
    </row>
    <row r="26" spans="1:41" ht="24.75" customHeight="1" x14ac:dyDescent="0.25">
      <c r="A26" s="5"/>
      <c r="B26" s="3"/>
      <c r="C26" s="3"/>
      <c r="D26" s="3"/>
      <c r="E26" s="6"/>
      <c r="F26" s="4"/>
      <c r="K26" s="54" t="s">
        <v>87</v>
      </c>
      <c r="L26" s="53"/>
      <c r="M26" s="47">
        <f>AD4</f>
        <v>30</v>
      </c>
      <c r="N26" s="33"/>
      <c r="O26" s="33"/>
      <c r="P26" s="33"/>
      <c r="Q26" s="33"/>
      <c r="R26" s="33"/>
      <c r="S26" s="33"/>
      <c r="T26" s="33"/>
      <c r="U26" s="33"/>
      <c r="V26" s="33"/>
      <c r="AD26" s="33"/>
      <c r="AE26" s="33"/>
      <c r="AF26" s="33">
        <v>25</v>
      </c>
      <c r="AG26" s="33">
        <f t="shared" si="1"/>
        <v>46137</v>
      </c>
      <c r="AH26" s="33">
        <f ca="1">IF(OR(AF26&gt;$AD$4,AF26&gt;$AD$3),NA(),SUMIFS(AprilTable[Jumlah (Rp)],AprilTable[Tipe],"Pengeluaran",AprilTable[Tanggal],"&lt;="&amp;AG26))</f>
        <v>0</v>
      </c>
      <c r="AI26" s="33">
        <f>IF(AF26&gt;$AD$4,NA(),Rekap!$B$19/$AD$4*AF26)</f>
        <v>197708.33333333331</v>
      </c>
      <c r="AJ26" s="33"/>
      <c r="AK26" s="33"/>
      <c r="AL26" s="33"/>
      <c r="AM26" s="33"/>
      <c r="AN26" s="33"/>
      <c r="AO26" s="33"/>
    </row>
    <row r="27" spans="1:41" ht="24.75" customHeight="1" x14ac:dyDescent="0.25">
      <c r="A27" s="5"/>
      <c r="B27" s="3"/>
      <c r="C27" s="3"/>
      <c r="D27" s="3"/>
      <c r="E27" s="6"/>
      <c r="F27" s="4"/>
      <c r="K27" s="54" t="s">
        <v>88</v>
      </c>
      <c r="L27" s="53"/>
      <c r="M27" s="37">
        <f>D3</f>
        <v>0</v>
      </c>
      <c r="N27" s="33"/>
      <c r="O27" s="33"/>
      <c r="P27" s="33"/>
      <c r="Q27" s="33"/>
      <c r="R27" s="33"/>
      <c r="S27" s="33"/>
      <c r="T27" s="33"/>
      <c r="U27" s="33"/>
      <c r="V27" s="33"/>
      <c r="AD27" s="33"/>
      <c r="AE27" s="33"/>
      <c r="AF27" s="33">
        <v>26</v>
      </c>
      <c r="AG27" s="33">
        <f t="shared" si="1"/>
        <v>46138</v>
      </c>
      <c r="AH27" s="33">
        <f ca="1">IF(OR(AF27&gt;$AD$4,AF27&gt;$AD$3),NA(),SUMIFS(AprilTable[Jumlah (Rp)],AprilTable[Tipe],"Pengeluaran",AprilTable[Tanggal],"&lt;="&amp;AG27))</f>
        <v>0</v>
      </c>
      <c r="AI27" s="33">
        <f>IF(AF27&gt;$AD$4,NA(),Rekap!$B$19/$AD$4*AF27)</f>
        <v>205616.66666666666</v>
      </c>
      <c r="AJ27" s="33"/>
      <c r="AK27" s="33"/>
      <c r="AL27" s="33"/>
      <c r="AM27" s="33"/>
      <c r="AN27" s="33"/>
      <c r="AO27" s="33"/>
    </row>
    <row r="28" spans="1:41" ht="24.75" customHeight="1" x14ac:dyDescent="0.25">
      <c r="A28" s="5"/>
      <c r="B28" s="3"/>
      <c r="C28" s="3"/>
      <c r="D28" s="3"/>
      <c r="E28" s="6"/>
      <c r="F28" s="4"/>
      <c r="K28" s="54" t="s">
        <v>89</v>
      </c>
      <c r="L28" s="53"/>
      <c r="M28" s="37">
        <f ca="1">IFERROR(M27/M25,0)</f>
        <v>0</v>
      </c>
      <c r="N28" s="33"/>
      <c r="O28" s="33"/>
      <c r="P28" s="33"/>
      <c r="Q28" s="33"/>
      <c r="R28" s="33"/>
      <c r="S28" s="33"/>
      <c r="T28" s="33"/>
      <c r="U28" s="33"/>
      <c r="V28" s="33"/>
      <c r="AD28" s="33"/>
      <c r="AE28" s="33"/>
      <c r="AF28" s="33">
        <v>27</v>
      </c>
      <c r="AG28" s="33">
        <f t="shared" si="1"/>
        <v>46139</v>
      </c>
      <c r="AH28" s="33">
        <f ca="1">IF(OR(AF28&gt;$AD$4,AF28&gt;$AD$3),NA(),SUMIFS(AprilTable[Jumlah (Rp)],AprilTable[Tipe],"Pengeluaran",AprilTable[Tanggal],"&lt;="&amp;AG28))</f>
        <v>0</v>
      </c>
      <c r="AI28" s="33">
        <f>IF(AF28&gt;$AD$4,NA(),Rekap!$B$19/$AD$4*AF28)</f>
        <v>213525</v>
      </c>
      <c r="AJ28" s="33"/>
      <c r="AK28" s="33"/>
      <c r="AL28" s="33"/>
      <c r="AM28" s="33"/>
      <c r="AN28" s="33"/>
      <c r="AO28" s="33"/>
    </row>
    <row r="29" spans="1:41" ht="24.75" customHeight="1" x14ac:dyDescent="0.25">
      <c r="A29" s="5"/>
      <c r="B29" s="3"/>
      <c r="C29" s="3"/>
      <c r="D29" s="3"/>
      <c r="E29" s="6"/>
      <c r="F29" s="4"/>
      <c r="K29" s="52" t="s">
        <v>90</v>
      </c>
      <c r="L29" s="53"/>
      <c r="M29" s="42">
        <f ca="1">M28*M26</f>
        <v>0</v>
      </c>
      <c r="N29" s="33"/>
      <c r="O29" s="33"/>
      <c r="P29" s="33"/>
      <c r="Q29" s="33"/>
      <c r="R29" s="33"/>
      <c r="S29" s="33"/>
      <c r="T29" s="33"/>
      <c r="U29" s="33"/>
      <c r="V29" s="33"/>
      <c r="AD29" s="33"/>
      <c r="AE29" s="33"/>
      <c r="AF29" s="33">
        <v>28</v>
      </c>
      <c r="AG29" s="33">
        <f t="shared" si="1"/>
        <v>46140</v>
      </c>
      <c r="AH29" s="33">
        <f ca="1">IF(OR(AF29&gt;$AD$4,AF29&gt;$AD$3),NA(),SUMIFS(AprilTable[Jumlah (Rp)],AprilTable[Tipe],"Pengeluaran",AprilTable[Tanggal],"&lt;="&amp;AG29))</f>
        <v>0</v>
      </c>
      <c r="AI29" s="33">
        <f>IF(AF29&gt;$AD$4,NA(),Rekap!$B$19/$AD$4*AF29)</f>
        <v>221433.33333333331</v>
      </c>
      <c r="AJ29" s="33"/>
      <c r="AK29" s="33"/>
      <c r="AL29" s="33"/>
      <c r="AM29" s="33"/>
      <c r="AN29" s="33"/>
      <c r="AO29" s="33"/>
    </row>
    <row r="30" spans="1:41" ht="24.75" customHeight="1" x14ac:dyDescent="0.25">
      <c r="A30" s="5"/>
      <c r="B30" s="3"/>
      <c r="C30" s="3"/>
      <c r="D30" s="3"/>
      <c r="E30" s="6"/>
      <c r="F30" s="4"/>
      <c r="K30" s="54" t="s">
        <v>91</v>
      </c>
      <c r="L30" s="53"/>
      <c r="M30" s="37">
        <f>Rekap!$B$19</f>
        <v>237250</v>
      </c>
      <c r="N30" s="33"/>
      <c r="O30" s="33"/>
      <c r="P30" s="33"/>
      <c r="Q30" s="33"/>
      <c r="R30" s="33"/>
      <c r="S30" s="33"/>
      <c r="T30" s="33"/>
      <c r="U30" s="33"/>
      <c r="V30" s="33"/>
      <c r="AD30" s="33"/>
      <c r="AE30" s="33"/>
      <c r="AF30" s="33">
        <v>29</v>
      </c>
      <c r="AG30" s="33">
        <f t="shared" si="1"/>
        <v>46141</v>
      </c>
      <c r="AH30" s="33">
        <f ca="1">IF(OR(AF30&gt;$AD$4,AF30&gt;$AD$3),NA(),SUMIFS(AprilTable[Jumlah (Rp)],AprilTable[Tipe],"Pengeluaran",AprilTable[Tanggal],"&lt;="&amp;AG30))</f>
        <v>0</v>
      </c>
      <c r="AI30" s="33">
        <f>IF(AF30&gt;$AD$4,NA(),Rekap!$B$19/$AD$4*AF30)</f>
        <v>229341.66666666666</v>
      </c>
      <c r="AJ30" s="33"/>
      <c r="AK30" s="33"/>
      <c r="AL30" s="33"/>
      <c r="AM30" s="33"/>
      <c r="AN30" s="33"/>
      <c r="AO30" s="33"/>
    </row>
    <row r="31" spans="1:41" ht="24.75" customHeight="1" x14ac:dyDescent="0.25">
      <c r="A31" s="5"/>
      <c r="B31" s="3"/>
      <c r="C31" s="3"/>
      <c r="D31" s="3"/>
      <c r="E31" s="6"/>
      <c r="F31" s="4"/>
      <c r="K31" s="54" t="s">
        <v>93</v>
      </c>
      <c r="L31" s="53"/>
      <c r="M31" s="37">
        <f>SUM(Master!$C$5:$C$81)</f>
        <v>30000000</v>
      </c>
      <c r="N31" s="33"/>
      <c r="O31" s="33"/>
      <c r="P31" s="33"/>
      <c r="Q31" s="33"/>
      <c r="R31" s="33"/>
      <c r="S31" s="33"/>
      <c r="T31" s="33"/>
      <c r="U31" s="33"/>
      <c r="V31" s="33"/>
      <c r="AD31" s="33"/>
      <c r="AE31" s="33"/>
      <c r="AF31" s="33">
        <v>30</v>
      </c>
      <c r="AG31" s="33">
        <f t="shared" si="1"/>
        <v>46142</v>
      </c>
      <c r="AH31" s="33">
        <f ca="1">IF(OR(AF31&gt;$AD$4,AF31&gt;$AD$3),NA(),SUMIFS(AprilTable[Jumlah (Rp)],AprilTable[Tipe],"Pengeluaran",AprilTable[Tanggal],"&lt;="&amp;AG31))</f>
        <v>0</v>
      </c>
      <c r="AI31" s="33">
        <f>IF(AF31&gt;$AD$4,NA(),Rekap!$B$19/$AD$4*AF31)</f>
        <v>237250</v>
      </c>
      <c r="AJ31" s="33"/>
      <c r="AK31" s="33"/>
      <c r="AL31" s="33"/>
      <c r="AM31" s="33"/>
      <c r="AN31" s="33"/>
      <c r="AO31" s="33"/>
    </row>
    <row r="32" spans="1:41" ht="24.75" customHeight="1" x14ac:dyDescent="0.25">
      <c r="A32" s="5"/>
      <c r="B32" s="3"/>
      <c r="C32" s="3"/>
      <c r="D32" s="3"/>
      <c r="E32" s="6"/>
      <c r="F32" s="4"/>
      <c r="K32" s="52" t="s">
        <v>58</v>
      </c>
      <c r="L32" s="53"/>
      <c r="M32" s="40" t="str">
        <f ca="1">IF(M25=0,"belum mulai",IF(M29&gt;M30,"di atas kebiasaan","di bawah kebiasaan"))</f>
        <v>di bawah kebiasaan</v>
      </c>
      <c r="N32" s="33"/>
      <c r="O32" s="33"/>
      <c r="P32" s="33"/>
      <c r="Q32" s="33"/>
      <c r="R32" s="33"/>
      <c r="S32" s="33"/>
      <c r="T32" s="33"/>
      <c r="U32" s="33"/>
      <c r="V32" s="33"/>
      <c r="AD32" s="33"/>
      <c r="AE32" s="33"/>
      <c r="AF32" s="33">
        <v>31</v>
      </c>
      <c r="AG32" s="33">
        <f t="shared" si="1"/>
        <v>46143</v>
      </c>
      <c r="AH32" s="33" t="e">
        <f ca="1">IF(OR(AF32&gt;$AD$4,AF32&gt;$AD$3),NA(),SUMIFS(AprilTable[Jumlah (Rp)],AprilTable[Tipe],"Pengeluaran",AprilTable[Tanggal],"&lt;="&amp;AG32))</f>
        <v>#N/A</v>
      </c>
      <c r="AI32" s="33" t="e">
        <f>IF(AF32&gt;$AD$4,NA(),Rekap!$B$19/$AD$4*AF32)</f>
        <v>#N/A</v>
      </c>
      <c r="AJ32" s="33"/>
      <c r="AK32" s="33"/>
      <c r="AL32" s="33"/>
      <c r="AM32" s="33"/>
      <c r="AN32" s="33"/>
      <c r="AO32" s="33"/>
    </row>
    <row r="33" spans="1:41" ht="24.75" customHeight="1" x14ac:dyDescent="0.25">
      <c r="A33" s="5"/>
      <c r="B33" s="3"/>
      <c r="C33" s="3"/>
      <c r="D33" s="3"/>
      <c r="E33" s="6"/>
      <c r="F33" s="4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</row>
    <row r="34" spans="1:41" ht="24.75" customHeight="1" x14ac:dyDescent="0.25">
      <c r="A34" s="5"/>
      <c r="B34" s="3"/>
      <c r="C34" s="3"/>
      <c r="D34" s="3"/>
      <c r="E34" s="6"/>
      <c r="F34" s="4"/>
      <c r="K34" s="32" t="s">
        <v>94</v>
      </c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</row>
    <row r="35" spans="1:41" ht="24.75" customHeight="1" x14ac:dyDescent="0.25">
      <c r="A35" s="5"/>
      <c r="B35" s="3"/>
      <c r="C35" s="3"/>
      <c r="D35" s="3"/>
      <c r="E35" s="6"/>
      <c r="F35" s="4"/>
      <c r="K35" s="34" t="s">
        <v>43</v>
      </c>
      <c r="L35" s="34" t="s">
        <v>37</v>
      </c>
      <c r="M35" s="34" t="s">
        <v>44</v>
      </c>
      <c r="N35" s="33"/>
      <c r="O35" s="33"/>
      <c r="P35" s="33"/>
      <c r="Q35" s="33"/>
      <c r="R35" s="33"/>
      <c r="S35" s="33"/>
      <c r="T35" s="33"/>
      <c r="U35" s="33"/>
      <c r="V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</row>
    <row r="36" spans="1:41" ht="24.75" customHeight="1" x14ac:dyDescent="0.25">
      <c r="A36" s="5"/>
      <c r="B36" s="3"/>
      <c r="C36" s="3"/>
      <c r="D36" s="3"/>
      <c r="E36" s="6"/>
      <c r="F36" s="4"/>
      <c r="K36" s="35" t="str">
        <f>Master!$G$5</f>
        <v>Tunai Uji</v>
      </c>
      <c r="L36" s="37">
        <f>SUMIFS(AprilTable[Jumlah (Rp)],AprilTable[Tipe],"Pengeluaran",AprilTable[Pembayaran],K36)</f>
        <v>0</v>
      </c>
      <c r="M36" s="48">
        <f t="shared" ref="M36:M44" si="2">IFERROR(L36/$D$3,0)</f>
        <v>0</v>
      </c>
      <c r="N36" s="33"/>
      <c r="O36" s="33"/>
      <c r="P36" s="33"/>
      <c r="Q36" s="33"/>
      <c r="R36" s="33"/>
      <c r="S36" s="33"/>
      <c r="T36" s="33"/>
      <c r="U36" s="33"/>
      <c r="V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</row>
    <row r="37" spans="1:41" ht="24.75" customHeight="1" x14ac:dyDescent="0.25">
      <c r="A37" s="5"/>
      <c r="B37" s="3"/>
      <c r="C37" s="3"/>
      <c r="D37" s="3"/>
      <c r="E37" s="6"/>
      <c r="F37" s="4"/>
      <c r="K37" s="35" t="str">
        <f>Master!$G$6</f>
        <v>Bank Uji</v>
      </c>
      <c r="L37" s="37">
        <f>SUMIFS(AprilTable[Jumlah (Rp)],AprilTable[Tipe],"Pengeluaran",AprilTable[Pembayaran],K37)</f>
        <v>0</v>
      </c>
      <c r="M37" s="48">
        <f t="shared" si="2"/>
        <v>0</v>
      </c>
      <c r="N37" s="33"/>
      <c r="O37" s="33"/>
      <c r="P37" s="33"/>
      <c r="Q37" s="33"/>
      <c r="R37" s="33"/>
      <c r="S37" s="33"/>
      <c r="T37" s="33"/>
      <c r="U37" s="33"/>
      <c r="V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</row>
    <row r="38" spans="1:41" ht="24.75" customHeight="1" x14ac:dyDescent="0.25">
      <c r="A38" s="5"/>
      <c r="B38" s="3"/>
      <c r="C38" s="3"/>
      <c r="D38" s="3"/>
      <c r="E38" s="6"/>
      <c r="F38" s="4"/>
      <c r="K38" s="35" t="str">
        <f>Master!$G$7</f>
        <v>Dompet Uji</v>
      </c>
      <c r="L38" s="37">
        <f>SUMIFS(AprilTable[Jumlah (Rp)],AprilTable[Tipe],"Pengeluaran",AprilTable[Pembayaran],K38)</f>
        <v>0</v>
      </c>
      <c r="M38" s="48">
        <f t="shared" si="2"/>
        <v>0</v>
      </c>
      <c r="N38" s="33"/>
      <c r="O38" s="33"/>
      <c r="P38" s="33"/>
      <c r="Q38" s="33"/>
      <c r="R38" s="33"/>
      <c r="S38" s="33"/>
      <c r="T38" s="33"/>
      <c r="U38" s="33"/>
      <c r="V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</row>
    <row r="39" spans="1:41" ht="24.75" customHeight="1" x14ac:dyDescent="0.25">
      <c r="A39" s="5"/>
      <c r="B39" s="3"/>
      <c r="C39" s="3"/>
      <c r="D39" s="3"/>
      <c r="E39" s="6"/>
      <c r="F39" s="4"/>
      <c r="K39" s="35" t="str">
        <f>Master!$G$8</f>
        <v>Kartu Uji</v>
      </c>
      <c r="L39" s="37">
        <f>SUMIFS(AprilTable[Jumlah (Rp)],AprilTable[Tipe],"Pengeluaran",AprilTable[Pembayaran],K39)</f>
        <v>0</v>
      </c>
      <c r="M39" s="48">
        <f t="shared" si="2"/>
        <v>0</v>
      </c>
      <c r="N39" s="33"/>
      <c r="O39" s="33"/>
      <c r="P39" s="33"/>
      <c r="Q39" s="33"/>
      <c r="R39" s="33"/>
      <c r="S39" s="33"/>
      <c r="T39" s="33"/>
      <c r="U39" s="33"/>
      <c r="V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</row>
    <row r="40" spans="1:41" ht="24.75" customHeight="1" x14ac:dyDescent="0.25">
      <c r="A40" s="5"/>
      <c r="B40" s="3"/>
      <c r="C40" s="3"/>
      <c r="D40" s="3"/>
      <c r="E40" s="6"/>
      <c r="F40" s="4"/>
      <c r="K40" s="35" t="str">
        <f>Master!$G$9</f>
        <v>Transfer Uji</v>
      </c>
      <c r="L40" s="37">
        <f>SUMIFS(AprilTable[Jumlah (Rp)],AprilTable[Tipe],"Pengeluaran",AprilTable[Pembayaran],K40)</f>
        <v>0</v>
      </c>
      <c r="M40" s="48">
        <f t="shared" si="2"/>
        <v>0</v>
      </c>
      <c r="N40" s="33"/>
      <c r="O40" s="33"/>
      <c r="P40" s="33"/>
      <c r="Q40" s="33"/>
      <c r="R40" s="33"/>
      <c r="S40" s="33"/>
      <c r="T40" s="33"/>
      <c r="U40" s="33"/>
      <c r="V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</row>
    <row r="41" spans="1:41" ht="24.75" customHeight="1" x14ac:dyDescent="0.25">
      <c r="A41" s="5"/>
      <c r="B41" s="3"/>
      <c r="C41" s="3"/>
      <c r="D41" s="3"/>
      <c r="E41" s="6"/>
      <c r="F41" s="4"/>
      <c r="K41" s="35" t="str">
        <f>Master!$G$10</f>
        <v>Voucher Uji</v>
      </c>
      <c r="L41" s="37">
        <f>SUMIFS(AprilTable[Jumlah (Rp)],AprilTable[Tipe],"Pengeluaran",AprilTable[Pembayaran],K41)</f>
        <v>0</v>
      </c>
      <c r="M41" s="48">
        <f t="shared" si="2"/>
        <v>0</v>
      </c>
      <c r="N41" s="33"/>
      <c r="O41" s="33"/>
      <c r="P41" s="33"/>
      <c r="Q41" s="33"/>
      <c r="R41" s="33"/>
      <c r="S41" s="33"/>
      <c r="T41" s="33"/>
      <c r="U41" s="33"/>
      <c r="V41" s="33"/>
    </row>
    <row r="42" spans="1:41" ht="24.75" customHeight="1" x14ac:dyDescent="0.25">
      <c r="A42" s="5"/>
      <c r="B42" s="3"/>
      <c r="C42" s="3"/>
      <c r="D42" s="3"/>
      <c r="E42" s="6"/>
      <c r="F42" s="4"/>
      <c r="K42" s="35" t="str">
        <f>Master!$G$11</f>
        <v>Cicilan Uji</v>
      </c>
      <c r="L42" s="37">
        <f>SUMIFS(AprilTable[Jumlah (Rp)],AprilTable[Tipe],"Pengeluaran",AprilTable[Pembayaran],K42)</f>
        <v>0</v>
      </c>
      <c r="M42" s="48">
        <f t="shared" si="2"/>
        <v>0</v>
      </c>
      <c r="N42" s="33"/>
      <c r="O42" s="33"/>
      <c r="P42" s="33"/>
      <c r="Q42" s="33"/>
      <c r="R42" s="33"/>
      <c r="S42" s="33"/>
      <c r="T42" s="33"/>
      <c r="U42" s="33"/>
      <c r="V42" s="33"/>
    </row>
    <row r="43" spans="1:41" ht="24.75" customHeight="1" x14ac:dyDescent="0.25">
      <c r="A43" s="5"/>
      <c r="B43" s="3"/>
      <c r="C43" s="3"/>
      <c r="D43" s="3"/>
      <c r="E43" s="6"/>
      <c r="F43" s="4"/>
      <c r="K43" s="35" t="str">
        <f>Master!$G$12</f>
        <v>Lainnya Uji</v>
      </c>
      <c r="L43" s="37">
        <f>SUMIFS(AprilTable[Jumlah (Rp)],AprilTable[Tipe],"Pengeluaran",AprilTable[Pembayaran],K43)</f>
        <v>0</v>
      </c>
      <c r="M43" s="48">
        <f t="shared" si="2"/>
        <v>0</v>
      </c>
      <c r="N43" s="33"/>
      <c r="O43" s="33"/>
      <c r="P43" s="33"/>
      <c r="Q43" s="33"/>
      <c r="R43" s="33"/>
      <c r="S43" s="33"/>
      <c r="T43" s="33"/>
      <c r="U43" s="33"/>
      <c r="V43" s="33"/>
    </row>
    <row r="44" spans="1:41" ht="24.75" customHeight="1" x14ac:dyDescent="0.25">
      <c r="A44" s="5"/>
      <c r="B44" s="3"/>
      <c r="C44" s="3"/>
      <c r="D44" s="3"/>
      <c r="E44" s="6"/>
      <c r="F44" s="4"/>
      <c r="K44" s="40" t="s">
        <v>21</v>
      </c>
      <c r="L44" s="42">
        <f>SUM(L36:L43)</f>
        <v>0</v>
      </c>
      <c r="M44" s="44">
        <f t="shared" si="2"/>
        <v>0</v>
      </c>
      <c r="N44" s="33"/>
      <c r="O44" s="33"/>
      <c r="P44" s="33"/>
      <c r="Q44" s="33"/>
      <c r="R44" s="33"/>
      <c r="S44" s="33"/>
      <c r="T44" s="33"/>
      <c r="U44" s="33"/>
      <c r="V44" s="33"/>
    </row>
    <row r="45" spans="1:41" ht="24.75" customHeight="1" x14ac:dyDescent="0.25">
      <c r="A45" s="5"/>
      <c r="B45" s="3"/>
      <c r="C45" s="3"/>
      <c r="D45" s="3"/>
      <c r="E45" s="6"/>
      <c r="F45" s="4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</row>
    <row r="46" spans="1:41" ht="24.75" customHeight="1" x14ac:dyDescent="0.25">
      <c r="A46" s="5"/>
      <c r="B46" s="3"/>
      <c r="C46" s="3"/>
      <c r="D46" s="3"/>
      <c r="E46" s="6"/>
      <c r="F46" s="4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</row>
    <row r="47" spans="1:41" ht="24.75" customHeight="1" x14ac:dyDescent="0.25">
      <c r="A47" s="5"/>
      <c r="B47" s="3"/>
      <c r="C47" s="3"/>
      <c r="D47" s="3"/>
      <c r="E47" s="6"/>
      <c r="F47" s="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</row>
    <row r="48" spans="1:41" ht="24.75" customHeight="1" x14ac:dyDescent="0.25">
      <c r="A48" s="5"/>
      <c r="B48" s="3"/>
      <c r="C48" s="3"/>
      <c r="D48" s="3"/>
      <c r="E48" s="6"/>
      <c r="F48" s="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</row>
    <row r="49" spans="1:22" ht="24.75" customHeight="1" x14ac:dyDescent="0.25">
      <c r="A49" s="5"/>
      <c r="B49" s="3"/>
      <c r="C49" s="3"/>
      <c r="D49" s="3"/>
      <c r="E49" s="6"/>
      <c r="F49" s="4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ht="24.75" customHeight="1" x14ac:dyDescent="0.25">
      <c r="A50" s="5"/>
      <c r="B50" s="3"/>
      <c r="C50" s="3"/>
      <c r="D50" s="3"/>
      <c r="E50" s="6"/>
      <c r="F50" s="4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</row>
    <row r="51" spans="1:22" ht="24.75" customHeight="1" x14ac:dyDescent="0.25">
      <c r="A51" s="5"/>
      <c r="B51" s="3"/>
      <c r="C51" s="3"/>
      <c r="D51" s="3"/>
      <c r="E51" s="6"/>
      <c r="F51" s="4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</row>
    <row r="52" spans="1:22" ht="24.75" customHeight="1" x14ac:dyDescent="0.25">
      <c r="A52" s="5"/>
      <c r="B52" s="3"/>
      <c r="C52" s="3"/>
      <c r="D52" s="3"/>
      <c r="E52" s="6"/>
      <c r="F52" s="4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</row>
    <row r="53" spans="1:22" ht="24.75" customHeight="1" x14ac:dyDescent="0.25">
      <c r="A53" s="5"/>
      <c r="B53" s="3"/>
      <c r="C53" s="3"/>
      <c r="D53" s="3"/>
      <c r="E53" s="6"/>
      <c r="F53" s="4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</row>
    <row r="54" spans="1:22" ht="24.75" customHeight="1" x14ac:dyDescent="0.25">
      <c r="A54" s="5"/>
      <c r="B54" s="3"/>
      <c r="C54" s="3"/>
      <c r="D54" s="3"/>
      <c r="E54" s="6"/>
      <c r="F54" s="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</row>
    <row r="55" spans="1:22" ht="24.75" customHeight="1" x14ac:dyDescent="0.25">
      <c r="A55" s="5"/>
      <c r="B55" s="3"/>
      <c r="C55" s="3"/>
      <c r="D55" s="3"/>
      <c r="E55" s="6"/>
      <c r="F55" s="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</row>
    <row r="56" spans="1:22" ht="24.75" customHeight="1" x14ac:dyDescent="0.25">
      <c r="A56" s="5"/>
      <c r="B56" s="3"/>
      <c r="C56" s="3"/>
      <c r="D56" s="3"/>
      <c r="E56" s="6"/>
      <c r="F56" s="4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</row>
    <row r="57" spans="1:22" ht="24.75" customHeight="1" x14ac:dyDescent="0.25">
      <c r="A57" s="5"/>
      <c r="B57" s="3"/>
      <c r="C57" s="3"/>
      <c r="D57" s="3"/>
      <c r="E57" s="6"/>
      <c r="F57" s="4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</row>
    <row r="58" spans="1:22" ht="24.75" customHeight="1" x14ac:dyDescent="0.25">
      <c r="A58" s="5"/>
      <c r="B58" s="3"/>
      <c r="C58" s="3"/>
      <c r="D58" s="3"/>
      <c r="E58" s="6"/>
      <c r="F58" s="4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</row>
    <row r="59" spans="1:22" ht="24.75" customHeight="1" x14ac:dyDescent="0.25">
      <c r="A59" s="5"/>
      <c r="B59" s="3"/>
      <c r="C59" s="3"/>
      <c r="D59" s="3"/>
      <c r="E59" s="6"/>
      <c r="F59" s="4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</row>
    <row r="60" spans="1:22" ht="24.75" customHeight="1" x14ac:dyDescent="0.25">
      <c r="A60" s="5"/>
      <c r="B60" s="3"/>
      <c r="C60" s="3"/>
      <c r="D60" s="3"/>
      <c r="E60" s="6"/>
      <c r="F60" s="4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</row>
    <row r="61" spans="1:22" ht="24.75" customHeight="1" x14ac:dyDescent="0.25">
      <c r="A61" s="5"/>
      <c r="B61" s="3"/>
      <c r="C61" s="3"/>
      <c r="D61" s="3"/>
      <c r="E61" s="6"/>
      <c r="F61" s="4"/>
    </row>
    <row r="62" spans="1:22" ht="24.75" customHeight="1" x14ac:dyDescent="0.25">
      <c r="A62" s="5"/>
      <c r="B62" s="3"/>
      <c r="C62" s="3"/>
      <c r="D62" s="3"/>
      <c r="E62" s="6"/>
      <c r="F62" s="4"/>
    </row>
    <row r="63" spans="1:22" ht="24.75" customHeight="1" x14ac:dyDescent="0.25">
      <c r="A63" s="5"/>
      <c r="B63" s="3"/>
      <c r="C63" s="3"/>
      <c r="D63" s="3"/>
      <c r="E63" s="6"/>
      <c r="F63" s="4"/>
    </row>
    <row r="64" spans="1:22" ht="24.75" customHeight="1" x14ac:dyDescent="0.25">
      <c r="A64" s="5"/>
      <c r="B64" s="3"/>
      <c r="C64" s="3"/>
      <c r="D64" s="3"/>
      <c r="E64" s="6"/>
      <c r="F64" s="4"/>
    </row>
    <row r="65" spans="1:6" ht="24.75" customHeight="1" x14ac:dyDescent="0.25">
      <c r="A65" s="5"/>
      <c r="B65" s="3"/>
      <c r="C65" s="3"/>
      <c r="D65" s="3"/>
      <c r="E65" s="6"/>
      <c r="F65" s="4"/>
    </row>
    <row r="66" spans="1:6" ht="24.75" customHeight="1" x14ac:dyDescent="0.25">
      <c r="A66" s="5"/>
      <c r="B66" s="3"/>
      <c r="C66" s="3"/>
      <c r="D66" s="3"/>
      <c r="E66" s="6"/>
      <c r="F66" s="4"/>
    </row>
    <row r="67" spans="1:6" ht="24.75" customHeight="1" x14ac:dyDescent="0.25">
      <c r="A67" s="5"/>
      <c r="B67" s="3"/>
      <c r="C67" s="3"/>
      <c r="D67" s="3"/>
      <c r="E67" s="6"/>
      <c r="F67" s="4"/>
    </row>
    <row r="68" spans="1:6" ht="24.75" customHeight="1" x14ac:dyDescent="0.25">
      <c r="A68" s="5"/>
      <c r="B68" s="3"/>
      <c r="C68" s="3"/>
      <c r="D68" s="3"/>
      <c r="E68" s="6"/>
      <c r="F68" s="4"/>
    </row>
    <row r="69" spans="1:6" ht="24.75" customHeight="1" x14ac:dyDescent="0.25">
      <c r="A69" s="5"/>
      <c r="B69" s="3"/>
      <c r="C69" s="3"/>
      <c r="D69" s="3"/>
      <c r="E69" s="6"/>
      <c r="F69" s="4"/>
    </row>
    <row r="70" spans="1:6" ht="24.75" customHeight="1" x14ac:dyDescent="0.25">
      <c r="A70" s="5"/>
      <c r="B70" s="3"/>
      <c r="C70" s="3"/>
      <c r="D70" s="3"/>
      <c r="E70" s="6"/>
      <c r="F70" s="4"/>
    </row>
    <row r="71" spans="1:6" ht="24.75" customHeight="1" x14ac:dyDescent="0.25">
      <c r="A71" s="5"/>
      <c r="B71" s="3"/>
      <c r="C71" s="3"/>
      <c r="D71" s="3"/>
      <c r="E71" s="6"/>
      <c r="F71" s="4"/>
    </row>
    <row r="72" spans="1:6" ht="24.75" customHeight="1" x14ac:dyDescent="0.25">
      <c r="A72" s="5"/>
      <c r="B72" s="3"/>
      <c r="C72" s="3"/>
      <c r="D72" s="3"/>
      <c r="E72" s="6"/>
      <c r="F72" s="4"/>
    </row>
    <row r="73" spans="1:6" ht="24.75" customHeight="1" x14ac:dyDescent="0.25">
      <c r="A73" s="5"/>
      <c r="B73" s="3"/>
      <c r="C73" s="3"/>
      <c r="D73" s="3"/>
      <c r="E73" s="6"/>
      <c r="F73" s="4"/>
    </row>
    <row r="74" spans="1:6" ht="24.75" customHeight="1" x14ac:dyDescent="0.25">
      <c r="A74" s="5"/>
      <c r="B74" s="3"/>
      <c r="C74" s="3"/>
      <c r="D74" s="3"/>
      <c r="E74" s="6"/>
      <c r="F74" s="4"/>
    </row>
    <row r="75" spans="1:6" ht="24.75" customHeight="1" x14ac:dyDescent="0.25">
      <c r="A75" s="5"/>
      <c r="B75" s="3"/>
      <c r="C75" s="3"/>
      <c r="D75" s="3"/>
      <c r="E75" s="6"/>
      <c r="F75" s="4"/>
    </row>
    <row r="76" spans="1:6" ht="24.75" customHeight="1" x14ac:dyDescent="0.25">
      <c r="A76" s="5"/>
      <c r="B76" s="3"/>
      <c r="C76" s="3"/>
      <c r="D76" s="3"/>
      <c r="E76" s="6"/>
      <c r="F76" s="4"/>
    </row>
    <row r="77" spans="1:6" ht="24.75" customHeight="1" x14ac:dyDescent="0.25">
      <c r="A77" s="5"/>
      <c r="B77" s="3"/>
      <c r="C77" s="3"/>
      <c r="D77" s="3"/>
      <c r="E77" s="6"/>
      <c r="F77" s="4"/>
    </row>
    <row r="78" spans="1:6" ht="24.75" customHeight="1" x14ac:dyDescent="0.25">
      <c r="A78" s="5"/>
      <c r="B78" s="3"/>
      <c r="C78" s="3"/>
      <c r="D78" s="3"/>
      <c r="E78" s="6"/>
      <c r="F78" s="4"/>
    </row>
    <row r="79" spans="1:6" ht="24.75" customHeight="1" x14ac:dyDescent="0.25">
      <c r="A79" s="5"/>
      <c r="B79" s="3"/>
      <c r="C79" s="3"/>
      <c r="D79" s="3"/>
      <c r="E79" s="6"/>
      <c r="F79" s="4"/>
    </row>
    <row r="80" spans="1:6" ht="24.75" customHeight="1" x14ac:dyDescent="0.25">
      <c r="A80" s="5"/>
      <c r="B80" s="3"/>
      <c r="C80" s="3"/>
      <c r="D80" s="3"/>
      <c r="E80" s="6"/>
      <c r="F80" s="4"/>
    </row>
    <row r="81" spans="1:6" ht="24.75" customHeight="1" x14ac:dyDescent="0.25">
      <c r="A81" s="5"/>
      <c r="B81" s="3"/>
      <c r="C81" s="3"/>
      <c r="D81" s="3"/>
      <c r="E81" s="6"/>
      <c r="F81" s="4"/>
    </row>
    <row r="82" spans="1:6" ht="24.75" customHeight="1" x14ac:dyDescent="0.25">
      <c r="A82" s="5"/>
      <c r="B82" s="3"/>
      <c r="C82" s="3"/>
      <c r="D82" s="3"/>
      <c r="E82" s="6"/>
      <c r="F82" s="4"/>
    </row>
    <row r="83" spans="1:6" ht="24.75" customHeight="1" x14ac:dyDescent="0.25">
      <c r="A83" s="5"/>
      <c r="B83" s="3"/>
      <c r="C83" s="3"/>
      <c r="D83" s="3"/>
      <c r="E83" s="6"/>
      <c r="F83" s="4"/>
    </row>
    <row r="84" spans="1:6" ht="24.75" customHeight="1" x14ac:dyDescent="0.25">
      <c r="A84" s="5"/>
      <c r="B84" s="3"/>
      <c r="C84" s="3"/>
      <c r="D84" s="3"/>
      <c r="E84" s="6"/>
      <c r="F84" s="4"/>
    </row>
    <row r="85" spans="1:6" ht="24.75" customHeight="1" x14ac:dyDescent="0.25">
      <c r="A85" s="5"/>
      <c r="B85" s="3"/>
      <c r="C85" s="3"/>
      <c r="D85" s="3"/>
      <c r="E85" s="6"/>
      <c r="F85" s="4"/>
    </row>
    <row r="86" spans="1:6" ht="24.75" customHeight="1" x14ac:dyDescent="0.25">
      <c r="A86" s="5"/>
      <c r="B86" s="3"/>
      <c r="C86" s="3"/>
      <c r="D86" s="3"/>
      <c r="E86" s="6"/>
      <c r="F86" s="4"/>
    </row>
    <row r="87" spans="1:6" ht="24.75" customHeight="1" x14ac:dyDescent="0.25">
      <c r="A87" s="5"/>
      <c r="B87" s="3"/>
      <c r="C87" s="3"/>
      <c r="D87" s="3"/>
      <c r="E87" s="6"/>
      <c r="F87" s="4"/>
    </row>
    <row r="88" spans="1:6" ht="24.75" customHeight="1" x14ac:dyDescent="0.25">
      <c r="A88" s="5"/>
      <c r="B88" s="3"/>
      <c r="C88" s="3"/>
      <c r="D88" s="3"/>
      <c r="E88" s="6"/>
      <c r="F88" s="4"/>
    </row>
    <row r="89" spans="1:6" ht="24.75" customHeight="1" x14ac:dyDescent="0.25">
      <c r="A89" s="5"/>
      <c r="B89" s="3"/>
      <c r="C89" s="3"/>
      <c r="D89" s="3"/>
      <c r="E89" s="6"/>
      <c r="F89" s="4"/>
    </row>
    <row r="90" spans="1:6" ht="24.75" customHeight="1" x14ac:dyDescent="0.25">
      <c r="A90" s="5"/>
      <c r="B90" s="3"/>
      <c r="C90" s="3"/>
      <c r="D90" s="3"/>
      <c r="E90" s="6"/>
      <c r="F90" s="4"/>
    </row>
    <row r="91" spans="1:6" ht="24.75" customHeight="1" x14ac:dyDescent="0.25">
      <c r="A91" s="5"/>
      <c r="B91" s="3"/>
      <c r="E91" s="7"/>
      <c r="F91" s="11"/>
    </row>
    <row r="92" spans="1:6" ht="24.75" customHeight="1" x14ac:dyDescent="0.25">
      <c r="A92" s="5"/>
      <c r="B92" s="3"/>
      <c r="E92" s="7"/>
      <c r="F92" s="11"/>
    </row>
  </sheetData>
  <mergeCells count="21">
    <mergeCell ref="K16:L16"/>
    <mergeCell ref="K30:L30"/>
    <mergeCell ref="K18:L18"/>
    <mergeCell ref="K25:L25"/>
    <mergeCell ref="K24:L24"/>
    <mergeCell ref="K32:L32"/>
    <mergeCell ref="K31:L31"/>
    <mergeCell ref="K27:L27"/>
    <mergeCell ref="R8:T8"/>
    <mergeCell ref="H13:I13"/>
    <mergeCell ref="K14:L14"/>
    <mergeCell ref="K17:L17"/>
    <mergeCell ref="K10:L10"/>
    <mergeCell ref="K28:L28"/>
    <mergeCell ref="K19:L19"/>
    <mergeCell ref="K15:L15"/>
    <mergeCell ref="K9:L9"/>
    <mergeCell ref="K26:L26"/>
    <mergeCell ref="K29:L29"/>
    <mergeCell ref="K11:L11"/>
    <mergeCell ref="K20:L20"/>
  </mergeCells>
  <conditionalFormatting sqref="M19">
    <cfRule type="cellIs" dxfId="137" priority="3" operator="lessThan">
      <formula>0</formula>
    </cfRule>
    <cfRule type="cellIs" dxfId="136" priority="4" operator="greaterThanOrEqual">
      <formula>0</formula>
    </cfRule>
  </conditionalFormatting>
  <conditionalFormatting sqref="M32">
    <cfRule type="cellIs" dxfId="135" priority="5" operator="equal">
      <formula>"di atas kebiasaan"</formula>
    </cfRule>
    <cfRule type="cellIs" dxfId="134" priority="6" operator="equal">
      <formula>"di bawah kebiasaan"</formula>
    </cfRule>
  </conditionalFormatting>
  <conditionalFormatting sqref="U12:U15">
    <cfRule type="cellIs" dxfId="133" priority="7" operator="greaterThan">
      <formula>0</formula>
    </cfRule>
    <cfRule type="cellIs" dxfId="132" priority="8" operator="lessThan">
      <formula>0</formula>
    </cfRule>
  </conditionalFormatting>
  <conditionalFormatting sqref="U19:U23">
    <cfRule type="cellIs" dxfId="131" priority="9" operator="greaterThan">
      <formula>0</formula>
    </cfRule>
    <cfRule type="cellIs" dxfId="130" priority="10" operator="lessThan">
      <formula>0</formula>
    </cfRule>
  </conditionalFormatting>
  <conditionalFormatting sqref="B6:B505">
    <cfRule type="expression" dxfId="129" priority="11" stopIfTrue="1">
      <formula>TRIM($B6)="Pengeluaran"</formula>
    </cfRule>
    <cfRule type="expression" dxfId="128" priority="12" stopIfTrue="1">
      <formula>TRIM($B6)="Pemasukan"</formula>
    </cfRule>
  </conditionalFormatting>
  <dataValidations count="3">
    <dataValidation type="list" errorStyle="warning" allowBlank="1" errorTitle="Di luar daftar" error="Nilai ini tidak ada di sheet Master. Tetap pakai?" sqref="B6:B505" xr:uid="{00000000-0002-0000-0400-000000000000}">
      <formula1>ListTipe</formula1>
    </dataValidation>
    <dataValidation type="list" errorStyle="warning" allowBlank="1" errorTitle="Di luar daftar" error="Nilai ini tidak ada di sheet Master. Tetap pakai?" sqref="C6:C505" xr:uid="{00000000-0002-0000-0400-000001000000}">
      <formula1>ListPembayaran</formula1>
    </dataValidation>
    <dataValidation type="list" errorStyle="warning" allowBlank="1" errorTitle="Di luar daftar" error="Nilai ini tidak ada di sheet Master. Tetap pakai?" sqref="D6:D505" xr:uid="{00000000-0002-0000-0400-000002000000}">
      <formula1>ListKategori</formula1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Button 1">
              <controlPr defaultSize="0" print="0" autoFill="0" autoPict="0" macro="TambahBarisBaru_ActiveSheet">
                <anchor moveWithCells="1" sizeWithCells="1">
                  <from>
                    <xdr:col>4</xdr:col>
                    <xdr:colOff>1457325</xdr:colOff>
                    <xdr:row>1</xdr:row>
                    <xdr:rowOff>285750</xdr:rowOff>
                  </from>
                  <to>
                    <xdr:col>5</xdr:col>
                    <xdr:colOff>3038475</xdr:colOff>
                    <xdr:row>3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O108"/>
  <sheetViews>
    <sheetView topLeftCell="A13" workbookViewId="0"/>
  </sheetViews>
  <sheetFormatPr defaultRowHeight="24.75" customHeight="1" x14ac:dyDescent="0.25"/>
  <cols>
    <col min="1" max="1" width="15" customWidth="1"/>
    <col min="2" max="2" width="14" customWidth="1"/>
    <col min="3" max="3" width="20.85546875" customWidth="1"/>
    <col min="4" max="5" width="22.140625" customWidth="1"/>
    <col min="6" max="6" width="46" customWidth="1"/>
    <col min="7" max="7" width="2" customWidth="1"/>
    <col min="8" max="8" width="16.7109375" customWidth="1"/>
    <col min="9" max="9" width="16.42578125" customWidth="1"/>
    <col min="11" max="11" width="26" customWidth="1"/>
    <col min="12" max="12" width="9" customWidth="1"/>
    <col min="13" max="15" width="16" customWidth="1"/>
    <col min="16" max="16" width="19" customWidth="1"/>
    <col min="17" max="17" width="2" customWidth="1"/>
    <col min="18" max="18" width="22" customWidth="1"/>
    <col min="19" max="21" width="15" customWidth="1"/>
    <col min="22" max="22" width="34" customWidth="1"/>
    <col min="30" max="41" width="13" hidden="1" customWidth="1"/>
  </cols>
  <sheetData>
    <row r="1" spans="1:41" ht="24.75" customHeight="1" x14ac:dyDescent="0.25">
      <c r="A1" s="15" t="s">
        <v>45</v>
      </c>
      <c r="B1" s="16"/>
      <c r="C1" s="17" t="s">
        <v>46</v>
      </c>
      <c r="D1" s="16"/>
      <c r="K1" s="32" t="s">
        <v>47</v>
      </c>
      <c r="L1" s="33"/>
      <c r="M1" s="33"/>
      <c r="N1" s="33"/>
      <c r="O1" s="33"/>
      <c r="P1" s="33"/>
      <c r="Q1" s="33"/>
      <c r="R1" s="32" t="s">
        <v>48</v>
      </c>
      <c r="S1" s="33"/>
      <c r="T1" s="33"/>
      <c r="U1" s="33"/>
      <c r="V1" s="33"/>
      <c r="AD1" s="33">
        <f>DATE(2026,5,1)</f>
        <v>46143</v>
      </c>
      <c r="AE1" s="33"/>
      <c r="AF1" s="33" t="s">
        <v>49</v>
      </c>
      <c r="AG1" s="33"/>
      <c r="AH1" s="33" t="s">
        <v>50</v>
      </c>
      <c r="AI1" s="33" t="s">
        <v>51</v>
      </c>
      <c r="AJ1" s="33" t="str">
        <f>Master!$A$5</f>
        <v>Kategori Uji 01</v>
      </c>
      <c r="AK1" s="33">
        <f>SUMIFS(MayTable[Jumlah (Rp)],MayTable[Tipe],"Pengeluaran",MayTable[Kategori],AJ1)</f>
        <v>0</v>
      </c>
      <c r="AL1" s="33">
        <f>SUMIFS(AprilTable[Jumlah (Rp)],AprilTable[Tipe],"Pengeluaran",AprilTable[Kategori],AJ1)</f>
        <v>0</v>
      </c>
      <c r="AM1" s="33">
        <f t="shared" ref="AM1:AM23" si="0">AK1+ROW()/1000000</f>
        <v>9.9999999999999995E-7</v>
      </c>
      <c r="AN1" s="33">
        <f>MAX($AM$1:$AM$23)</f>
        <v>2.3E-5</v>
      </c>
      <c r="AO1" s="33">
        <f>IFERROR(MATCH(AN1,$AM$1:$AM$23,0),0)</f>
        <v>23</v>
      </c>
    </row>
    <row r="2" spans="1:41" ht="24.75" customHeight="1" x14ac:dyDescent="0.25">
      <c r="A2" s="15" t="s">
        <v>5</v>
      </c>
      <c r="B2" s="7" t="str">
        <f>IF(B1=0,"",B1-D4)</f>
        <v/>
      </c>
      <c r="C2" s="17" t="s">
        <v>52</v>
      </c>
      <c r="D2" s="2">
        <f>SUMIFS(MayTable[Jumlah (Rp)],MayTable[Tipe],"Pemasukan")</f>
        <v>0</v>
      </c>
      <c r="E2" s="8">
        <f>IFERROR(D2/(D2+D3),0)</f>
        <v>0</v>
      </c>
      <c r="K2" s="34" t="s">
        <v>53</v>
      </c>
      <c r="L2" s="34" t="s">
        <v>54</v>
      </c>
      <c r="M2" s="34" t="s">
        <v>55</v>
      </c>
      <c r="N2" s="34" t="s">
        <v>56</v>
      </c>
      <c r="O2" s="34" t="s">
        <v>57</v>
      </c>
      <c r="P2" s="34" t="s">
        <v>58</v>
      </c>
      <c r="Q2" s="33"/>
      <c r="R2" s="34" t="s">
        <v>59</v>
      </c>
      <c r="S2" s="34" t="s">
        <v>49</v>
      </c>
      <c r="T2" s="34" t="s">
        <v>25</v>
      </c>
      <c r="U2" s="34" t="s">
        <v>60</v>
      </c>
      <c r="V2" s="34" t="s">
        <v>61</v>
      </c>
      <c r="AD2" s="33">
        <f>EOMONTH(AD1,0)</f>
        <v>46173</v>
      </c>
      <c r="AE2" s="33"/>
      <c r="AF2" s="33">
        <v>1</v>
      </c>
      <c r="AG2" s="33">
        <f t="shared" ref="AG2:AG32" si="1">DATE(2026,5,AF2)</f>
        <v>46143</v>
      </c>
      <c r="AH2" s="33">
        <f ca="1">IF(OR(AF2&gt;$AD$4,AF2&gt;$AD$3),NA(),SUMIFS(MayTable[Jumlah (Rp)],MayTable[Tipe],"Pengeluaran",MayTable[Tanggal],"&lt;="&amp;AG2))</f>
        <v>0</v>
      </c>
      <c r="AI2" s="33">
        <f>IF(AF2&gt;$AD$4,NA(),Rekap!$B$19/$AD$4*AF2)</f>
        <v>7653.2258064516127</v>
      </c>
      <c r="AJ2" s="33" t="str">
        <f>Master!$A$6</f>
        <v>Kategori Uji 02</v>
      </c>
      <c r="AK2" s="33">
        <f>SUMIFS(MayTable[Jumlah (Rp)],MayTable[Tipe],"Pengeluaran",MayTable[Kategori],AJ2)</f>
        <v>0</v>
      </c>
      <c r="AL2" s="33">
        <f>SUMIFS(AprilTable[Jumlah (Rp)],AprilTable[Tipe],"Pengeluaran",AprilTable[Kategori],AJ2)</f>
        <v>0</v>
      </c>
      <c r="AM2" s="33">
        <f t="shared" si="0"/>
        <v>1.9999999999999999E-6</v>
      </c>
      <c r="AN2" s="33">
        <f>SUMPRODUCT(MAX(($AM$1:$AM$23&lt;AN1)*$AM$1:$AM$23))</f>
        <v>2.1999999999999999E-5</v>
      </c>
      <c r="AO2" s="33">
        <f>IFERROR(MATCH(AN2,$AM$1:$AM$23,0),0)</f>
        <v>22</v>
      </c>
    </row>
    <row r="3" spans="1:41" ht="24.75" customHeight="1" x14ac:dyDescent="0.25">
      <c r="A3" s="15" t="s">
        <v>6</v>
      </c>
      <c r="B3" s="18" t="str">
        <f>IF(D2=0,"",(D2-D3)/D2)</f>
        <v/>
      </c>
      <c r="C3" s="19" t="s">
        <v>62</v>
      </c>
      <c r="D3" s="2">
        <f>SUMIFS(MayTable[Jumlah (Rp)],MayTable[Tipe],"Pengeluaran")</f>
        <v>0</v>
      </c>
      <c r="E3" s="8">
        <f>IFERROR(D3/(D2+D3),0)</f>
        <v>0</v>
      </c>
      <c r="K3" s="35" t="str">
        <f>"Uang Makan (hari kerja "&amp;TEXT($AD$1-1,"mmmm")&amp;")"</f>
        <v>Uang Makan (hari kerja April)</v>
      </c>
      <c r="L3" s="36">
        <v>10</v>
      </c>
      <c r="M3" s="37">
        <f>$M$10*$M$11</f>
        <v>0</v>
      </c>
      <c r="N3" s="37">
        <f>SUMIFS(MayTable[Jumlah (Rp)],MayTable[Tipe],"Pemasukan",MayTable[Kategori],"Uang Makan")</f>
        <v>0</v>
      </c>
      <c r="O3" s="37">
        <f ca="1">IF(OR(N3&gt;0,TODAY()&gt;$AD$2),0,N(M3))</f>
        <v>0</v>
      </c>
      <c r="P3" s="35" t="str">
        <f ca="1">IF(N3&gt;0,"sudah cair",IF(TODAY()&gt;$AD$2,"bulan sudah lewat",IF(N(M3)=0,"isi estimasi dulu","menunggu tgl 10")))</f>
        <v>bulan sudah lewat</v>
      </c>
      <c r="Q3" s="33"/>
      <c r="R3" s="36">
        <v>1</v>
      </c>
      <c r="S3" s="38">
        <f>IF($AE$6=0,"",INDEX(MayTable[Tanggal],$AE$6))</f>
        <v>0</v>
      </c>
      <c r="T3" s="35">
        <f>IF($AE$6=0,"",INDEX(MayTable[Kategori],$AE$6))</f>
        <v>0</v>
      </c>
      <c r="U3" s="37">
        <f>IF($AE$6=0,"",INDEX(MayTable[Jumlah (Rp)],$AE$6))</f>
        <v>0</v>
      </c>
      <c r="V3" s="35">
        <f>IF($AE$6=0,"",INDEX(MayTable[Keterangan],$AE$6))</f>
        <v>0</v>
      </c>
      <c r="AD3" s="33">
        <f ca="1">IF(TODAY()&gt;=AD2,DAY(AD2),IF(TODAY()&lt;AD1,0,DAY(TODAY())))</f>
        <v>31</v>
      </c>
      <c r="AE3" s="33"/>
      <c r="AF3" s="33">
        <v>2</v>
      </c>
      <c r="AG3" s="33">
        <f t="shared" si="1"/>
        <v>46144</v>
      </c>
      <c r="AH3" s="33">
        <f ca="1">IF(OR(AF3&gt;$AD$4,AF3&gt;$AD$3),NA(),SUMIFS(MayTable[Jumlah (Rp)],MayTable[Tipe],"Pengeluaran",MayTable[Tanggal],"&lt;="&amp;AG3))</f>
        <v>0</v>
      </c>
      <c r="AI3" s="33">
        <f>IF(AF3&gt;$AD$4,NA(),Rekap!$B$19/$AD$4*AF3)</f>
        <v>15306.451612903225</v>
      </c>
      <c r="AJ3" s="33" t="str">
        <f>Master!$A$7</f>
        <v>Kategori Uji 03</v>
      </c>
      <c r="AK3" s="33">
        <f>SUMIFS(MayTable[Jumlah (Rp)],MayTable[Tipe],"Pengeluaran",MayTable[Kategori],AJ3)</f>
        <v>0</v>
      </c>
      <c r="AL3" s="33">
        <f>SUMIFS(AprilTable[Jumlah (Rp)],AprilTable[Tipe],"Pengeluaran",AprilTable[Kategori],AJ3)</f>
        <v>0</v>
      </c>
      <c r="AM3" s="33">
        <f t="shared" si="0"/>
        <v>3.0000000000000001E-6</v>
      </c>
      <c r="AN3" s="33">
        <f>SUMPRODUCT(MAX(($AM$1:$AM$23&lt;AN2)*$AM$1:$AM$23))</f>
        <v>2.0999999999999999E-5</v>
      </c>
      <c r="AO3" s="33">
        <f>IFERROR(MATCH(AN3,$AM$1:$AM$23,0),0)</f>
        <v>21</v>
      </c>
    </row>
    <row r="4" spans="1:41" ht="24.75" customHeight="1" x14ac:dyDescent="0.25">
      <c r="A4" s="15" t="s">
        <v>63</v>
      </c>
      <c r="B4">
        <f>COUNTA(MayTable[Tanggal])</f>
        <v>0</v>
      </c>
      <c r="C4" s="17" t="s">
        <v>64</v>
      </c>
      <c r="D4" s="20">
        <f>D1+D2-D3</f>
        <v>0</v>
      </c>
      <c r="K4" s="35" t="s">
        <v>144</v>
      </c>
      <c r="L4" s="36">
        <v>10</v>
      </c>
      <c r="M4" s="39">
        <v>5000000</v>
      </c>
      <c r="N4" s="37">
        <f>SUMIFS(MayTable[Jumlah (Rp)],MayTable[Tipe],"Pemasukan",MayTable[Kategori],"Gaji")</f>
        <v>0</v>
      </c>
      <c r="O4" s="37">
        <f ca="1">IF(OR(N4&gt;1000000,TODAY()&gt;$AD$2),0,N(M4))</f>
        <v>0</v>
      </c>
      <c r="P4" s="35" t="str">
        <f ca="1">IF(N4&gt;1000000,"sudah cair",IF(TODAY()&gt;$AD$2,"bulan sudah lewat",IF(N(M4)=0,"isi estimasi dulu","menunggu tgl 25")))</f>
        <v>bulan sudah lewat</v>
      </c>
      <c r="Q4" s="33"/>
      <c r="R4" s="36">
        <v>2</v>
      </c>
      <c r="S4" s="38">
        <f>IF($AE$7=0,"",INDEX(MayTable[Tanggal],$AE$7))</f>
        <v>0</v>
      </c>
      <c r="T4" s="35">
        <f>IF($AE$7=0,"",INDEX(MayTable[Kategori],$AE$7))</f>
        <v>0</v>
      </c>
      <c r="U4" s="37">
        <f>IF($AE$7=0,"",INDEX(MayTable[Jumlah (Rp)],$AE$7))</f>
        <v>0</v>
      </c>
      <c r="V4" s="35">
        <f>IF($AE$7=0,"",INDEX(MayTable[Keterangan],$AE$7))</f>
        <v>0</v>
      </c>
      <c r="AD4" s="33">
        <f>DAY(AD2)</f>
        <v>31</v>
      </c>
      <c r="AE4" s="33"/>
      <c r="AF4" s="33">
        <v>3</v>
      </c>
      <c r="AG4" s="33">
        <f t="shared" si="1"/>
        <v>46145</v>
      </c>
      <c r="AH4" s="33">
        <f ca="1">IF(OR(AF4&gt;$AD$4,AF4&gt;$AD$3),NA(),SUMIFS(MayTable[Jumlah (Rp)],MayTable[Tipe],"Pengeluaran",MayTable[Tanggal],"&lt;="&amp;AG4))</f>
        <v>0</v>
      </c>
      <c r="AI4" s="33">
        <f>IF(AF4&gt;$AD$4,NA(),Rekap!$B$19/$AD$4*AF4)</f>
        <v>22959.677419354837</v>
      </c>
      <c r="AJ4" s="33" t="str">
        <f>Master!$A$8</f>
        <v>Kategori Uji 04</v>
      </c>
      <c r="AK4" s="33">
        <f>SUMIFS(MayTable[Jumlah (Rp)],MayTable[Tipe],"Pengeluaran",MayTable[Kategori],AJ4)</f>
        <v>0</v>
      </c>
      <c r="AL4" s="33">
        <f>SUMIFS(AprilTable[Jumlah (Rp)],AprilTable[Tipe],"Pengeluaran",AprilTable[Kategori],AJ4)</f>
        <v>0</v>
      </c>
      <c r="AM4" s="33">
        <f t="shared" si="0"/>
        <v>3.9999999999999998E-6</v>
      </c>
      <c r="AN4" s="33">
        <f>SUMPRODUCT(MAX(($AM$1:$AM$23&lt;AN3)*$AM$1:$AM$23))</f>
        <v>2.0000000000000002E-5</v>
      </c>
      <c r="AO4" s="33">
        <f>IFERROR(MATCH(AN4,$AM$1:$AM$23,0),0)</f>
        <v>20</v>
      </c>
    </row>
    <row r="5" spans="1:41" ht="24.75" customHeight="1" x14ac:dyDescent="0.25">
      <c r="A5" s="1" t="s">
        <v>49</v>
      </c>
      <c r="B5" s="1" t="s">
        <v>65</v>
      </c>
      <c r="C5" s="3" t="s">
        <v>66</v>
      </c>
      <c r="D5" s="1" t="s">
        <v>25</v>
      </c>
      <c r="E5" s="1" t="s">
        <v>67</v>
      </c>
      <c r="F5" s="1" t="s">
        <v>61</v>
      </c>
      <c r="K5" s="35" t="s">
        <v>145</v>
      </c>
      <c r="L5" s="36">
        <v>20</v>
      </c>
      <c r="M5" s="39">
        <v>1000000</v>
      </c>
      <c r="N5" s="37">
        <f>SUMIFS(MayTable[Jumlah (Rp)],MayTable[Tipe],"Pemasukan",MayTable[Kategori],"Freelance")</f>
        <v>0</v>
      </c>
      <c r="O5" s="37">
        <f ca="1">IF(OR(N5&gt;0,TODAY()&gt;$AD$2),0,N(M5))</f>
        <v>0</v>
      </c>
      <c r="P5" s="35" t="str">
        <f ca="1">IF(N5&gt;0,"sudah cair",IF(TODAY()&gt;$AD$2,"bulan sudah lewat",IF(N(M5)=0,"isi estimasi dulu","menunggu tgl 28")))</f>
        <v>bulan sudah lewat</v>
      </c>
      <c r="Q5" s="33"/>
      <c r="R5" s="36">
        <v>3</v>
      </c>
      <c r="S5" s="38">
        <f>IF($AE$8=0,"",INDEX(MayTable[Tanggal],$AE$8))</f>
        <v>0</v>
      </c>
      <c r="T5" s="35">
        <f>IF($AE$8=0,"",INDEX(MayTable[Kategori],$AE$8))</f>
        <v>0</v>
      </c>
      <c r="U5" s="37">
        <f>IF($AE$8=0,"",INDEX(MayTable[Jumlah (Rp)],$AE$8))</f>
        <v>0</v>
      </c>
      <c r="V5" s="35">
        <f>IF($AE$8=0,"",INDEX(MayTable[Keterangan],$AE$8))</f>
        <v>0</v>
      </c>
      <c r="AD5" s="33"/>
      <c r="AE5" s="33"/>
      <c r="AF5" s="33">
        <v>4</v>
      </c>
      <c r="AG5" s="33">
        <f t="shared" si="1"/>
        <v>46146</v>
      </c>
      <c r="AH5" s="33">
        <f ca="1">IF(OR(AF5&gt;$AD$4,AF5&gt;$AD$3),NA(),SUMIFS(MayTable[Jumlah (Rp)],MayTable[Tipe],"Pengeluaran",MayTable[Tanggal],"&lt;="&amp;AG5))</f>
        <v>0</v>
      </c>
      <c r="AI5" s="33">
        <f>IF(AF5&gt;$AD$4,NA(),Rekap!$B$19/$AD$4*AF5)</f>
        <v>30612.903225806451</v>
      </c>
      <c r="AJ5" s="33" t="str">
        <f>Master!$A$9</f>
        <v>Kategori Uji 05</v>
      </c>
      <c r="AK5" s="33">
        <f>SUMIFS(MayTable[Jumlah (Rp)],MayTable[Tipe],"Pengeluaran",MayTable[Kategori],AJ5)</f>
        <v>0</v>
      </c>
      <c r="AL5" s="33">
        <f>SUMIFS(AprilTable[Jumlah (Rp)],AprilTable[Tipe],"Pengeluaran",AprilTable[Kategori],AJ5)</f>
        <v>0</v>
      </c>
      <c r="AM5" s="33">
        <f t="shared" si="0"/>
        <v>5.0000000000000004E-6</v>
      </c>
      <c r="AN5" s="33">
        <f>SUMPRODUCT(MAX(($AM$1:$AM$23&lt;AN4)*$AM$1:$AM$23))</f>
        <v>1.9000000000000001E-5</v>
      </c>
      <c r="AO5" s="33">
        <f>IFERROR(MATCH(AN5,$AM$1:$AM$23,0),0)</f>
        <v>19</v>
      </c>
    </row>
    <row r="6" spans="1:41" ht="24.75" customHeight="1" x14ac:dyDescent="0.25">
      <c r="A6" s="5"/>
      <c r="B6" s="3"/>
      <c r="C6" s="3"/>
      <c r="D6" s="3"/>
      <c r="E6" s="6"/>
      <c r="F6" s="4"/>
      <c r="K6" s="40" t="s">
        <v>21</v>
      </c>
      <c r="L6" s="41"/>
      <c r="M6" s="42">
        <f>SUM(M3:M5)</f>
        <v>6000000</v>
      </c>
      <c r="N6" s="42">
        <f>SUM(N3:N5)</f>
        <v>0</v>
      </c>
      <c r="O6" s="42">
        <f ca="1">SUM(O3:O5)</f>
        <v>0</v>
      </c>
      <c r="P6" s="41"/>
      <c r="Q6" s="33"/>
      <c r="R6" s="36">
        <v>4</v>
      </c>
      <c r="S6" s="38">
        <f>IF($AE$9=0,"",INDEX(MayTable[Tanggal],$AE$9))</f>
        <v>0</v>
      </c>
      <c r="T6" s="35">
        <f>IF($AE$9=0,"",INDEX(MayTable[Kategori],$AE$9))</f>
        <v>0</v>
      </c>
      <c r="U6" s="37">
        <f>IF($AE$9=0,"",INDEX(MayTable[Jumlah (Rp)],$AE$9))</f>
        <v>0</v>
      </c>
      <c r="V6" s="35">
        <f>IF($AE$9=0,"",INDEX(MayTable[Keterangan],$AE$9))</f>
        <v>0</v>
      </c>
      <c r="AD6" s="33">
        <f>SUMPRODUCT(MAX((MayTable[Tipe]="Pengeluaran")*(MayTable[Jumlah (Rp)]+ROW(MayTable[Jumlah (Rp)])/1000000)))</f>
        <v>0</v>
      </c>
      <c r="AE6" s="33">
        <f>IFERROR(SUMPRODUCT(MATCH(AD6,(MayTable[Tipe]="Pengeluaran")*(MayTable[Jumlah (Rp)]+ROW(MayTable[Jumlah (Rp)])/1000000),0)),0)</f>
        <v>1</v>
      </c>
      <c r="AF6" s="33">
        <v>5</v>
      </c>
      <c r="AG6" s="33">
        <f t="shared" si="1"/>
        <v>46147</v>
      </c>
      <c r="AH6" s="33">
        <f ca="1">IF(OR(AF6&gt;$AD$4,AF6&gt;$AD$3),NA(),SUMIFS(MayTable[Jumlah (Rp)],MayTable[Tipe],"Pengeluaran",MayTable[Tanggal],"&lt;="&amp;AG6))</f>
        <v>0</v>
      </c>
      <c r="AI6" s="33">
        <f>IF(AF6&gt;$AD$4,NA(),Rekap!$B$19/$AD$4*AF6)</f>
        <v>38266.129032258061</v>
      </c>
      <c r="AJ6" s="33" t="str">
        <f>Master!$A$10</f>
        <v>Kategori Uji 06</v>
      </c>
      <c r="AK6" s="33">
        <f>SUMIFS(MayTable[Jumlah (Rp)],MayTable[Tipe],"Pengeluaran",MayTable[Kategori],AJ6)</f>
        <v>0</v>
      </c>
      <c r="AL6" s="33">
        <f>SUMIFS(AprilTable[Jumlah (Rp)],AprilTable[Tipe],"Pengeluaran",AprilTable[Kategori],AJ6)</f>
        <v>0</v>
      </c>
      <c r="AM6" s="33">
        <f t="shared" si="0"/>
        <v>6.0000000000000002E-6</v>
      </c>
      <c r="AN6" s="33"/>
      <c r="AO6" s="33"/>
    </row>
    <row r="7" spans="1:41" ht="24.75" customHeight="1" x14ac:dyDescent="0.25">
      <c r="A7" s="5"/>
      <c r="B7" s="3"/>
      <c r="C7" s="3"/>
      <c r="D7" s="3"/>
      <c r="E7" s="6"/>
      <c r="F7" s="4"/>
      <c r="K7" s="33"/>
      <c r="L7" s="33"/>
      <c r="M7" s="33"/>
      <c r="N7" s="33"/>
      <c r="O7" s="33"/>
      <c r="P7" s="33"/>
      <c r="Q7" s="33"/>
      <c r="R7" s="36">
        <v>5</v>
      </c>
      <c r="S7" s="38">
        <f>IF($AE$10=0,"",INDEX(MayTable[Tanggal],$AE$10))</f>
        <v>0</v>
      </c>
      <c r="T7" s="35">
        <f>IF($AE$10=0,"",INDEX(MayTable[Kategori],$AE$10))</f>
        <v>0</v>
      </c>
      <c r="U7" s="37">
        <f>IF($AE$10=0,"",INDEX(MayTable[Jumlah (Rp)],$AE$10))</f>
        <v>0</v>
      </c>
      <c r="V7" s="35">
        <f>IF($AE$10=0,"",INDEX(MayTable[Keterangan],$AE$10))</f>
        <v>0</v>
      </c>
      <c r="AD7" s="33">
        <f>SUMPRODUCT(MAX((MayTable[Tipe]="Pengeluaran")*((MayTable[Jumlah (Rp)]+ROW(MayTable[Jumlah (Rp)])/1000000)&lt;AD6)*(MayTable[Jumlah (Rp)]+ROW(MayTable[Jumlah (Rp)])/1000000)))</f>
        <v>0</v>
      </c>
      <c r="AE7" s="33">
        <f>IFERROR(SUMPRODUCT(MATCH(AD7,(MayTable[Tipe]="Pengeluaran")*(MayTable[Jumlah (Rp)]+ROW(MayTable[Jumlah (Rp)])/1000000),0)),0)</f>
        <v>1</v>
      </c>
      <c r="AF7" s="33">
        <v>6</v>
      </c>
      <c r="AG7" s="33">
        <f t="shared" si="1"/>
        <v>46148</v>
      </c>
      <c r="AH7" s="33">
        <f ca="1">IF(OR(AF7&gt;$AD$4,AF7&gt;$AD$3),NA(),SUMIFS(MayTable[Jumlah (Rp)],MayTable[Tipe],"Pengeluaran",MayTable[Tanggal],"&lt;="&amp;AG7))</f>
        <v>0</v>
      </c>
      <c r="AI7" s="33">
        <f>IF(AF7&gt;$AD$4,NA(),Rekap!$B$19/$AD$4*AF7)</f>
        <v>45919.354838709674</v>
      </c>
      <c r="AJ7" s="33" t="str">
        <f>Master!$A$11</f>
        <v>Kategori Uji 07</v>
      </c>
      <c r="AK7" s="33">
        <f>SUMIFS(MayTable[Jumlah (Rp)],MayTable[Tipe],"Pengeluaran",MayTable[Kategori],AJ7)</f>
        <v>0</v>
      </c>
      <c r="AL7" s="33">
        <f>SUMIFS(AprilTable[Jumlah (Rp)],AprilTable[Tipe],"Pengeluaran",AprilTable[Kategori],AJ7)</f>
        <v>0</v>
      </c>
      <c r="AM7" s="33">
        <f t="shared" si="0"/>
        <v>6.9999999999999999E-6</v>
      </c>
      <c r="AN7" s="33"/>
      <c r="AO7" s="33"/>
    </row>
    <row r="8" spans="1:41" ht="24.75" customHeight="1" x14ac:dyDescent="0.25">
      <c r="A8" s="5"/>
      <c r="B8" s="3"/>
      <c r="C8" s="3"/>
      <c r="D8" s="3"/>
      <c r="E8" s="6"/>
      <c r="F8" s="4"/>
      <c r="K8" s="43" t="s">
        <v>68</v>
      </c>
      <c r="L8" s="33"/>
      <c r="M8" s="33"/>
      <c r="N8" s="33"/>
      <c r="O8" s="33"/>
      <c r="P8" s="33"/>
      <c r="Q8" s="33"/>
      <c r="R8" s="52" t="s">
        <v>69</v>
      </c>
      <c r="S8" s="55"/>
      <c r="T8" s="55"/>
      <c r="U8" s="42">
        <f>SUM(U3:U7)</f>
        <v>0</v>
      </c>
      <c r="V8" s="44">
        <f>IFERROR(U8/$D$3,0)</f>
        <v>0</v>
      </c>
      <c r="AD8" s="33">
        <f>SUMPRODUCT(MAX((MayTable[Tipe]="Pengeluaran")*((MayTable[Jumlah (Rp)]+ROW(MayTable[Jumlah (Rp)])/1000000)&lt;AD7)*(MayTable[Jumlah (Rp)]+ROW(MayTable[Jumlah (Rp)])/1000000)))</f>
        <v>0</v>
      </c>
      <c r="AE8" s="33">
        <f>IFERROR(SUMPRODUCT(MATCH(AD8,(MayTable[Tipe]="Pengeluaran")*(MayTable[Jumlah (Rp)]+ROW(MayTable[Jumlah (Rp)])/1000000),0)),0)</f>
        <v>1</v>
      </c>
      <c r="AF8" s="33">
        <v>7</v>
      </c>
      <c r="AG8" s="33">
        <f t="shared" si="1"/>
        <v>46149</v>
      </c>
      <c r="AH8" s="33">
        <f ca="1">IF(OR(AF8&gt;$AD$4,AF8&gt;$AD$3),NA(),SUMIFS(MayTable[Jumlah (Rp)],MayTable[Tipe],"Pengeluaran",MayTable[Tanggal],"&lt;="&amp;AG8))</f>
        <v>0</v>
      </c>
      <c r="AI8" s="33">
        <f>IF(AF8&gt;$AD$4,NA(),Rekap!$B$19/$AD$4*AF8)</f>
        <v>53572.580645161288</v>
      </c>
      <c r="AJ8" s="33" t="str">
        <f>Master!$A$12</f>
        <v>Kategori Uji 08</v>
      </c>
      <c r="AK8" s="33">
        <f>SUMIFS(MayTable[Jumlah (Rp)],MayTable[Tipe],"Pengeluaran",MayTable[Kategori],AJ8)</f>
        <v>0</v>
      </c>
      <c r="AL8" s="33">
        <f>SUMIFS(AprilTable[Jumlah (Rp)],AprilTable[Tipe],"Pengeluaran",AprilTable[Kategori],AJ8)</f>
        <v>0</v>
      </c>
      <c r="AM8" s="33">
        <f t="shared" si="0"/>
        <v>7.9999999999999996E-6</v>
      </c>
      <c r="AN8" s="33"/>
      <c r="AO8" s="33"/>
    </row>
    <row r="9" spans="1:41" ht="24.75" customHeight="1" x14ac:dyDescent="0.25">
      <c r="A9" s="5"/>
      <c r="B9" s="3"/>
      <c r="C9" s="3"/>
      <c r="D9" s="3"/>
      <c r="E9" s="6"/>
      <c r="F9" s="4"/>
      <c r="K9" s="56" t="s">
        <v>61</v>
      </c>
      <c r="L9" s="53"/>
      <c r="M9" s="34" t="s">
        <v>70</v>
      </c>
      <c r="N9" s="33"/>
      <c r="O9" s="33"/>
      <c r="P9" s="33"/>
      <c r="Q9" s="33"/>
      <c r="R9" s="33"/>
      <c r="S9" s="33"/>
      <c r="T9" s="33"/>
      <c r="U9" s="33"/>
      <c r="V9" s="33"/>
      <c r="AD9" s="33">
        <f>SUMPRODUCT(MAX((MayTable[Tipe]="Pengeluaran")*((MayTable[Jumlah (Rp)]+ROW(MayTable[Jumlah (Rp)])/1000000)&lt;AD8)*(MayTable[Jumlah (Rp)]+ROW(MayTable[Jumlah (Rp)])/1000000)))</f>
        <v>0</v>
      </c>
      <c r="AE9" s="33">
        <f>IFERROR(SUMPRODUCT(MATCH(AD9,(MayTable[Tipe]="Pengeluaran")*(MayTable[Jumlah (Rp)]+ROW(MayTable[Jumlah (Rp)])/1000000),0)),0)</f>
        <v>1</v>
      </c>
      <c r="AF9" s="33">
        <v>8</v>
      </c>
      <c r="AG9" s="33">
        <f t="shared" si="1"/>
        <v>46150</v>
      </c>
      <c r="AH9" s="33">
        <f ca="1">IF(OR(AF9&gt;$AD$4,AF9&gt;$AD$3),NA(),SUMIFS(MayTable[Jumlah (Rp)],MayTable[Tipe],"Pengeluaran",MayTable[Tanggal],"&lt;="&amp;AG9))</f>
        <v>0</v>
      </c>
      <c r="AI9" s="33">
        <f>IF(AF9&gt;$AD$4,NA(),Rekap!$B$19/$AD$4*AF9)</f>
        <v>61225.806451612902</v>
      </c>
      <c r="AJ9" s="33" t="str">
        <f>Master!$A$13</f>
        <v>Kategori Uji 09</v>
      </c>
      <c r="AK9" s="33">
        <f>SUMIFS(MayTable[Jumlah (Rp)],MayTable[Tipe],"Pengeluaran",MayTable[Kategori],AJ9)</f>
        <v>0</v>
      </c>
      <c r="AL9" s="33">
        <f>SUMIFS(AprilTable[Jumlah (Rp)],AprilTable[Tipe],"Pengeluaran",AprilTable[Kategori],AJ9)</f>
        <v>0</v>
      </c>
      <c r="AM9" s="33">
        <f t="shared" si="0"/>
        <v>9.0000000000000002E-6</v>
      </c>
      <c r="AN9" s="33"/>
      <c r="AO9" s="33"/>
    </row>
    <row r="10" spans="1:41" ht="24.75" customHeight="1" x14ac:dyDescent="0.25">
      <c r="A10" s="5"/>
      <c r="B10" s="3"/>
      <c r="C10" s="3"/>
      <c r="D10" s="3"/>
      <c r="E10" s="6"/>
      <c r="F10" s="4"/>
      <c r="K10" s="54" t="str">
        <f>"Hari kerja "&amp;TEXT($AD$1-1,"mmmm")</f>
        <v>Hari kerja April</v>
      </c>
      <c r="L10" s="53"/>
      <c r="M10" s="45"/>
      <c r="N10" s="33"/>
      <c r="O10" s="33"/>
      <c r="P10" s="33"/>
      <c r="Q10" s="33"/>
      <c r="R10" s="32" t="s">
        <v>71</v>
      </c>
      <c r="S10" s="33"/>
      <c r="T10" s="33"/>
      <c r="U10" s="33"/>
      <c r="V10" s="33"/>
      <c r="AD10" s="33">
        <f>SUMPRODUCT(MAX((MayTable[Tipe]="Pengeluaran")*((MayTable[Jumlah (Rp)]+ROW(MayTable[Jumlah (Rp)])/1000000)&lt;AD9)*(MayTable[Jumlah (Rp)]+ROW(MayTable[Jumlah (Rp)])/1000000)))</f>
        <v>0</v>
      </c>
      <c r="AE10" s="33">
        <f>IFERROR(SUMPRODUCT(MATCH(AD10,(MayTable[Tipe]="Pengeluaran")*(MayTable[Jumlah (Rp)]+ROW(MayTable[Jumlah (Rp)])/1000000),0)),0)</f>
        <v>1</v>
      </c>
      <c r="AF10" s="33">
        <v>9</v>
      </c>
      <c r="AG10" s="33">
        <f t="shared" si="1"/>
        <v>46151</v>
      </c>
      <c r="AH10" s="33">
        <f ca="1">IF(OR(AF10&gt;$AD$4,AF10&gt;$AD$3),NA(),SUMIFS(MayTable[Jumlah (Rp)],MayTable[Tipe],"Pengeluaran",MayTable[Tanggal],"&lt;="&amp;AG10))</f>
        <v>0</v>
      </c>
      <c r="AI10" s="33">
        <f>IF(AF10&gt;$AD$4,NA(),Rekap!$B$19/$AD$4*AF10)</f>
        <v>68879.032258064515</v>
      </c>
      <c r="AJ10" s="33" t="str">
        <f>Master!$A$14</f>
        <v>Kategori Uji 10</v>
      </c>
      <c r="AK10" s="33">
        <f>SUMIFS(MayTable[Jumlah (Rp)],MayTable[Tipe],"Pengeluaran",MayTable[Kategori],AJ10)</f>
        <v>0</v>
      </c>
      <c r="AL10" s="33">
        <f>SUMIFS(AprilTable[Jumlah (Rp)],AprilTable[Tipe],"Pengeluaran",AprilTable[Kategori],AJ10)</f>
        <v>0</v>
      </c>
      <c r="AM10" s="33">
        <f t="shared" si="0"/>
        <v>1.0000000000000001E-5</v>
      </c>
      <c r="AN10" s="33"/>
      <c r="AO10" s="33"/>
    </row>
    <row r="11" spans="1:41" ht="24.75" customHeight="1" x14ac:dyDescent="0.25">
      <c r="A11" s="5"/>
      <c r="B11" s="3"/>
      <c r="C11" s="3"/>
      <c r="D11" s="3"/>
      <c r="E11" s="6"/>
      <c r="F11" s="4"/>
      <c r="K11" s="54" t="s">
        <v>72</v>
      </c>
      <c r="L11" s="53"/>
      <c r="M11" s="39">
        <v>50000</v>
      </c>
      <c r="N11" s="33"/>
      <c r="O11" s="33"/>
      <c r="P11" s="33"/>
      <c r="Q11" s="33"/>
      <c r="R11" s="34" t="s">
        <v>84</v>
      </c>
      <c r="S11" s="34" t="s">
        <v>12</v>
      </c>
      <c r="T11" s="34" t="s">
        <v>99</v>
      </c>
      <c r="U11" s="34" t="s">
        <v>5</v>
      </c>
      <c r="V11" s="34" t="s">
        <v>95</v>
      </c>
      <c r="AD11" s="33"/>
      <c r="AE11" s="33"/>
      <c r="AF11" s="33">
        <v>10</v>
      </c>
      <c r="AG11" s="33">
        <f t="shared" si="1"/>
        <v>46152</v>
      </c>
      <c r="AH11" s="33">
        <f ca="1">IF(OR(AF11&gt;$AD$4,AF11&gt;$AD$3),NA(),SUMIFS(MayTable[Jumlah (Rp)],MayTable[Tipe],"Pengeluaran",MayTable[Tanggal],"&lt;="&amp;AG11))</f>
        <v>0</v>
      </c>
      <c r="AI11" s="33">
        <f>IF(AF11&gt;$AD$4,NA(),Rekap!$B$19/$AD$4*AF11)</f>
        <v>76532.258064516122</v>
      </c>
      <c r="AJ11" s="33" t="str">
        <f>Master!$A$15</f>
        <v>Kategori Uji 11</v>
      </c>
      <c r="AK11" s="33">
        <f>SUMIFS(MayTable[Jumlah (Rp)],MayTable[Tipe],"Pengeluaran",MayTable[Kategori],AJ11)</f>
        <v>0</v>
      </c>
      <c r="AL11" s="33">
        <f>SUMIFS(AprilTable[Jumlah (Rp)],AprilTable[Tipe],"Pengeluaran",AprilTable[Kategori],AJ11)</f>
        <v>0</v>
      </c>
      <c r="AM11" s="33">
        <f t="shared" si="0"/>
        <v>1.1E-5</v>
      </c>
      <c r="AN11" s="33"/>
      <c r="AO11" s="33"/>
    </row>
    <row r="12" spans="1:41" ht="24.75" customHeight="1" x14ac:dyDescent="0.25">
      <c r="A12" s="5"/>
      <c r="B12" s="3"/>
      <c r="C12" s="3"/>
      <c r="D12" s="3"/>
      <c r="E12" s="6"/>
      <c r="F12" s="4"/>
      <c r="H12" s="9" t="s">
        <v>65</v>
      </c>
      <c r="I12" t="s">
        <v>118</v>
      </c>
      <c r="K12" s="33"/>
      <c r="L12" s="33"/>
      <c r="M12" s="33"/>
      <c r="N12" s="33"/>
      <c r="O12" s="33"/>
      <c r="P12" s="33"/>
      <c r="Q12" s="33"/>
      <c r="R12" s="35" t="s">
        <v>3</v>
      </c>
      <c r="S12" s="37">
        <f>SUMIFS(AprilTable[Jumlah (Rp)],AprilTable[Tipe],"Pemasukan")</f>
        <v>0</v>
      </c>
      <c r="T12" s="37">
        <f>SUMIFS(MayTable[Jumlah (Rp)],MayTable[Tipe],"Pemasukan")</f>
        <v>0</v>
      </c>
      <c r="U12" s="37">
        <f>T12-S12</f>
        <v>0</v>
      </c>
      <c r="V12" s="48" t="str">
        <f>IFERROR(U12/S12,"")</f>
        <v/>
      </c>
      <c r="AD12" s="33"/>
      <c r="AE12" s="33"/>
      <c r="AF12" s="33">
        <v>11</v>
      </c>
      <c r="AG12" s="33">
        <f t="shared" si="1"/>
        <v>46153</v>
      </c>
      <c r="AH12" s="33">
        <f ca="1">IF(OR(AF12&gt;$AD$4,AF12&gt;$AD$3),NA(),SUMIFS(MayTable[Jumlah (Rp)],MayTable[Tipe],"Pengeluaran",MayTable[Tanggal],"&lt;="&amp;AG12))</f>
        <v>0</v>
      </c>
      <c r="AI12" s="33">
        <f>IF(AF12&gt;$AD$4,NA(),Rekap!$B$19/$AD$4*AF12)</f>
        <v>84185.483870967742</v>
      </c>
      <c r="AJ12" s="33" t="str">
        <f>Master!$A$16</f>
        <v>Kategori Uji 12</v>
      </c>
      <c r="AK12" s="33">
        <f>SUMIFS(MayTable[Jumlah (Rp)],MayTable[Tipe],"Pengeluaran",MayTable[Kategori],AJ12)</f>
        <v>0</v>
      </c>
      <c r="AL12" s="33">
        <f>SUMIFS(AprilTable[Jumlah (Rp)],AprilTable[Tipe],"Pengeluaran",AprilTable[Kategori],AJ12)</f>
        <v>0</v>
      </c>
      <c r="AM12" s="33">
        <f t="shared" si="0"/>
        <v>1.2E-5</v>
      </c>
      <c r="AN12" s="33"/>
      <c r="AO12" s="33"/>
    </row>
    <row r="13" spans="1:41" ht="24.75" customHeight="1" x14ac:dyDescent="0.25">
      <c r="A13" s="5"/>
      <c r="B13" s="3"/>
      <c r="C13" s="3"/>
      <c r="D13" s="3"/>
      <c r="E13" s="6"/>
      <c r="F13" s="4"/>
      <c r="H13" s="57" t="s">
        <v>74</v>
      </c>
      <c r="I13" s="58"/>
      <c r="K13" s="43" t="s">
        <v>75</v>
      </c>
      <c r="L13" s="33"/>
      <c r="M13" s="33"/>
      <c r="N13" s="33"/>
      <c r="O13" s="33"/>
      <c r="P13" s="33"/>
      <c r="Q13" s="33"/>
      <c r="R13" s="35" t="s">
        <v>4</v>
      </c>
      <c r="S13" s="37">
        <f>SUMIFS(AprilTable[Jumlah (Rp)],AprilTable[Tipe],"Pengeluaran")</f>
        <v>0</v>
      </c>
      <c r="T13" s="37">
        <f>SUMIFS(MayTable[Jumlah (Rp)],MayTable[Tipe],"Pengeluaran")</f>
        <v>0</v>
      </c>
      <c r="U13" s="37">
        <f>T13-S13</f>
        <v>0</v>
      </c>
      <c r="V13" s="48" t="str">
        <f>IFERROR(U13/S13,"")</f>
        <v/>
      </c>
      <c r="AD13" s="33"/>
      <c r="AE13" s="33"/>
      <c r="AF13" s="33">
        <v>12</v>
      </c>
      <c r="AG13" s="33">
        <f t="shared" si="1"/>
        <v>46154</v>
      </c>
      <c r="AH13" s="33">
        <f ca="1">IF(OR(AF13&gt;$AD$4,AF13&gt;$AD$3),NA(),SUMIFS(MayTable[Jumlah (Rp)],MayTable[Tipe],"Pengeluaran",MayTable[Tanggal],"&lt;="&amp;AG13))</f>
        <v>0</v>
      </c>
      <c r="AI13" s="33">
        <f>IF(AF13&gt;$AD$4,NA(),Rekap!$B$19/$AD$4*AF13)</f>
        <v>91838.709677419349</v>
      </c>
      <c r="AJ13" s="33" t="str">
        <f>Master!$A$17</f>
        <v>Kategori Uji 13</v>
      </c>
      <c r="AK13" s="33">
        <f>SUMIFS(MayTable[Jumlah (Rp)],MayTable[Tipe],"Pengeluaran",MayTable[Kategori],AJ13)</f>
        <v>0</v>
      </c>
      <c r="AL13" s="33">
        <f>SUMIFS(AprilTable[Jumlah (Rp)],AprilTable[Tipe],"Pengeluaran",AprilTable[Kategori],AJ13)</f>
        <v>0</v>
      </c>
      <c r="AM13" s="33">
        <f t="shared" si="0"/>
        <v>1.2999999999999999E-5</v>
      </c>
      <c r="AN13" s="33"/>
      <c r="AO13" s="33"/>
    </row>
    <row r="14" spans="1:41" ht="24.75" customHeight="1" x14ac:dyDescent="0.25">
      <c r="A14" s="5"/>
      <c r="B14" s="3"/>
      <c r="C14" s="3"/>
      <c r="D14" s="3"/>
      <c r="E14" s="6"/>
      <c r="F14" s="4"/>
      <c r="H14" s="9" t="s">
        <v>25</v>
      </c>
      <c r="I14" t="s">
        <v>76</v>
      </c>
      <c r="K14" s="56" t="s">
        <v>61</v>
      </c>
      <c r="L14" s="53"/>
      <c r="M14" s="34" t="s">
        <v>70</v>
      </c>
      <c r="N14" s="33"/>
      <c r="O14" s="33"/>
      <c r="P14" s="33"/>
      <c r="Q14" s="33"/>
      <c r="R14" s="35" t="s">
        <v>96</v>
      </c>
      <c r="S14" s="47">
        <f>COUNTA(AprilTable[Tanggal])</f>
        <v>0</v>
      </c>
      <c r="T14" s="47">
        <f>COUNTA(MayTable[Tanggal])</f>
        <v>0</v>
      </c>
      <c r="U14" s="47">
        <f>T14-S14</f>
        <v>0</v>
      </c>
      <c r="V14" s="48" t="str">
        <f>IFERROR(U14/S14,"")</f>
        <v/>
      </c>
      <c r="AD14" s="33"/>
      <c r="AE14" s="33"/>
      <c r="AF14" s="33">
        <v>13</v>
      </c>
      <c r="AG14" s="33">
        <f t="shared" si="1"/>
        <v>46155</v>
      </c>
      <c r="AH14" s="33">
        <f ca="1">IF(OR(AF14&gt;$AD$4,AF14&gt;$AD$3),NA(),SUMIFS(MayTable[Jumlah (Rp)],MayTable[Tipe],"Pengeluaran",MayTable[Tanggal],"&lt;="&amp;AG14))</f>
        <v>0</v>
      </c>
      <c r="AI14" s="33">
        <f>IF(AF14&gt;$AD$4,NA(),Rekap!$B$19/$AD$4*AF14)</f>
        <v>99491.93548387097</v>
      </c>
      <c r="AJ14" s="33" t="str">
        <f>Master!$A$18</f>
        <v>Kategori Uji 14</v>
      </c>
      <c r="AK14" s="33">
        <f>SUMIFS(MayTable[Jumlah (Rp)],MayTable[Tipe],"Pengeluaran",MayTable[Kategori],AJ14)</f>
        <v>0</v>
      </c>
      <c r="AL14" s="33">
        <f>SUMIFS(AprilTable[Jumlah (Rp)],AprilTable[Tipe],"Pengeluaran",AprilTable[Kategori],AJ14)</f>
        <v>0</v>
      </c>
      <c r="AM14" s="33">
        <f t="shared" si="0"/>
        <v>1.4E-5</v>
      </c>
      <c r="AN14" s="33"/>
      <c r="AO14" s="33"/>
    </row>
    <row r="15" spans="1:41" ht="24.75" customHeight="1" x14ac:dyDescent="0.25">
      <c r="A15" s="5"/>
      <c r="B15" s="3"/>
      <c r="C15" s="3"/>
      <c r="D15" s="3"/>
      <c r="E15" s="6"/>
      <c r="F15" s="4"/>
      <c r="H15" s="10" t="s">
        <v>119</v>
      </c>
      <c r="I15" s="7"/>
      <c r="K15" s="54" t="s">
        <v>77</v>
      </c>
      <c r="L15" s="53"/>
      <c r="M15" s="37">
        <f>D2</f>
        <v>0</v>
      </c>
      <c r="N15" s="33"/>
      <c r="O15" s="33"/>
      <c r="P15" s="33"/>
      <c r="Q15" s="33"/>
      <c r="R15" s="35" t="s">
        <v>97</v>
      </c>
      <c r="S15" s="37">
        <f>IFERROR(S13/S14,0)</f>
        <v>0</v>
      </c>
      <c r="T15" s="37">
        <f>IFERROR(T13/T14,0)</f>
        <v>0</v>
      </c>
      <c r="U15" s="37">
        <f>T15-S15</f>
        <v>0</v>
      </c>
      <c r="V15" s="48" t="str">
        <f>IFERROR(U15/S15,"")</f>
        <v/>
      </c>
      <c r="AD15" s="33"/>
      <c r="AE15" s="33"/>
      <c r="AF15" s="33">
        <v>14</v>
      </c>
      <c r="AG15" s="33">
        <f t="shared" si="1"/>
        <v>46156</v>
      </c>
      <c r="AH15" s="33">
        <f ca="1">IF(OR(AF15&gt;$AD$4,AF15&gt;$AD$3),NA(),SUMIFS(MayTable[Jumlah (Rp)],MayTable[Tipe],"Pengeluaran",MayTable[Tanggal],"&lt;="&amp;AG15))</f>
        <v>0</v>
      </c>
      <c r="AI15" s="33">
        <f>IF(AF15&gt;$AD$4,NA(),Rekap!$B$19/$AD$4*AF15)</f>
        <v>107145.16129032258</v>
      </c>
      <c r="AJ15" s="33" t="str">
        <f>Master!$A$19</f>
        <v>Kategori Uji 15</v>
      </c>
      <c r="AK15" s="33">
        <f>SUMIFS(MayTable[Jumlah (Rp)],MayTable[Tipe],"Pengeluaran",MayTable[Kategori],AJ15)</f>
        <v>0</v>
      </c>
      <c r="AL15" s="33">
        <f>SUMIFS(AprilTable[Jumlah (Rp)],AprilTable[Tipe],"Pengeluaran",AprilTable[Kategori],AJ15)</f>
        <v>0</v>
      </c>
      <c r="AM15" s="33">
        <f t="shared" si="0"/>
        <v>1.5E-5</v>
      </c>
      <c r="AN15" s="33"/>
      <c r="AO15" s="33"/>
    </row>
    <row r="16" spans="1:41" ht="24.75" customHeight="1" x14ac:dyDescent="0.25">
      <c r="A16" s="5"/>
      <c r="B16" s="3"/>
      <c r="C16" s="3"/>
      <c r="D16" s="3"/>
      <c r="E16" s="6"/>
      <c r="F16" s="4"/>
      <c r="H16" s="10" t="s">
        <v>92</v>
      </c>
      <c r="I16" s="7"/>
      <c r="K16" s="54" t="s">
        <v>57</v>
      </c>
      <c r="L16" s="53"/>
      <c r="M16" s="37">
        <f ca="1">O6</f>
        <v>0</v>
      </c>
      <c r="N16" s="33"/>
      <c r="O16" s="33"/>
      <c r="P16" s="33"/>
      <c r="Q16" s="33"/>
      <c r="R16" s="33"/>
      <c r="S16" s="33"/>
      <c r="T16" s="33"/>
      <c r="U16" s="33"/>
      <c r="V16" s="33"/>
      <c r="AD16" s="33"/>
      <c r="AE16" s="33"/>
      <c r="AF16" s="33">
        <v>15</v>
      </c>
      <c r="AG16" s="33">
        <f t="shared" si="1"/>
        <v>46157</v>
      </c>
      <c r="AH16" s="33">
        <f ca="1">IF(OR(AF16&gt;$AD$4,AF16&gt;$AD$3),NA(),SUMIFS(MayTable[Jumlah (Rp)],MayTable[Tipe],"Pengeluaran",MayTable[Tanggal],"&lt;="&amp;AG16))</f>
        <v>0</v>
      </c>
      <c r="AI16" s="33">
        <f>IF(AF16&gt;$AD$4,NA(),Rekap!$B$19/$AD$4*AF16)</f>
        <v>114798.3870967742</v>
      </c>
      <c r="AJ16" s="33" t="str">
        <f>Master!$A$20</f>
        <v>Kategori Uji 16</v>
      </c>
      <c r="AK16" s="33">
        <f>SUMIFS(MayTable[Jumlah (Rp)],MayTable[Tipe],"Pengeluaran",MayTable[Kategori],AJ16)</f>
        <v>0</v>
      </c>
      <c r="AL16" s="33">
        <f>SUMIFS(AprilTable[Jumlah (Rp)],AprilTable[Tipe],"Pengeluaran",AprilTable[Kategori],AJ16)</f>
        <v>0</v>
      </c>
      <c r="AM16" s="33">
        <f t="shared" si="0"/>
        <v>1.5999999999999999E-5</v>
      </c>
      <c r="AN16" s="33"/>
      <c r="AO16" s="33"/>
    </row>
    <row r="17" spans="1:41" ht="24.75" customHeight="1" x14ac:dyDescent="0.25">
      <c r="A17" s="5"/>
      <c r="B17" s="3"/>
      <c r="C17" s="3"/>
      <c r="D17" s="3"/>
      <c r="E17" s="6"/>
      <c r="F17" s="4"/>
      <c r="K17" s="54" t="s">
        <v>78</v>
      </c>
      <c r="L17" s="53"/>
      <c r="M17" s="37">
        <f ca="1">M15+M16</f>
        <v>0</v>
      </c>
      <c r="N17" s="33"/>
      <c r="O17" s="33"/>
      <c r="P17" s="33"/>
      <c r="Q17" s="33"/>
      <c r="R17" s="43" t="s">
        <v>98</v>
      </c>
      <c r="S17" s="33"/>
      <c r="T17" s="33"/>
      <c r="U17" s="33"/>
      <c r="V17" s="33"/>
      <c r="AD17" s="33"/>
      <c r="AE17" s="33"/>
      <c r="AF17" s="33">
        <v>16</v>
      </c>
      <c r="AG17" s="33">
        <f t="shared" si="1"/>
        <v>46158</v>
      </c>
      <c r="AH17" s="33">
        <f ca="1">IF(OR(AF17&gt;$AD$4,AF17&gt;$AD$3),NA(),SUMIFS(MayTable[Jumlah (Rp)],MayTable[Tipe],"Pengeluaran",MayTable[Tanggal],"&lt;="&amp;AG17))</f>
        <v>0</v>
      </c>
      <c r="AI17" s="33">
        <f>IF(AF17&gt;$AD$4,NA(),Rekap!$B$19/$AD$4*AF17)</f>
        <v>122451.6129032258</v>
      </c>
      <c r="AJ17" s="33" t="str">
        <f>Master!$A$21</f>
        <v>Kategori Uji 17</v>
      </c>
      <c r="AK17" s="33">
        <f>SUMIFS(MayTable[Jumlah (Rp)],MayTable[Tipe],"Pengeluaran",MayTable[Kategori],AJ17)</f>
        <v>0</v>
      </c>
      <c r="AL17" s="33">
        <f>SUMIFS(AprilTable[Jumlah (Rp)],AprilTable[Tipe],"Pengeluaran",AprilTable[Kategori],AJ17)</f>
        <v>0</v>
      </c>
      <c r="AM17" s="33">
        <f t="shared" si="0"/>
        <v>1.7E-5</v>
      </c>
      <c r="AN17" s="33"/>
      <c r="AO17" s="33"/>
    </row>
    <row r="18" spans="1:41" ht="24.75" customHeight="1" x14ac:dyDescent="0.25">
      <c r="A18" s="5"/>
      <c r="B18" s="3"/>
      <c r="C18" s="3"/>
      <c r="D18" s="3"/>
      <c r="E18" s="6"/>
      <c r="F18" s="4"/>
      <c r="K18" s="54" t="s">
        <v>79</v>
      </c>
      <c r="L18" s="53"/>
      <c r="M18" s="37">
        <f ca="1">M29</f>
        <v>0</v>
      </c>
      <c r="N18" s="33"/>
      <c r="O18" s="33"/>
      <c r="P18" s="33"/>
      <c r="Q18" s="33"/>
      <c r="R18" s="34" t="s">
        <v>25</v>
      </c>
      <c r="S18" s="34" t="s">
        <v>12</v>
      </c>
      <c r="T18" s="34" t="s">
        <v>99</v>
      </c>
      <c r="U18" s="34" t="s">
        <v>5</v>
      </c>
      <c r="V18" s="34" t="s">
        <v>95</v>
      </c>
      <c r="AD18" s="33"/>
      <c r="AE18" s="33"/>
      <c r="AF18" s="33">
        <v>17</v>
      </c>
      <c r="AG18" s="33">
        <f t="shared" si="1"/>
        <v>46159</v>
      </c>
      <c r="AH18" s="33">
        <f ca="1">IF(OR(AF18&gt;$AD$4,AF18&gt;$AD$3),NA(),SUMIFS(MayTable[Jumlah (Rp)],MayTable[Tipe],"Pengeluaran",MayTable[Tanggal],"&lt;="&amp;AG18))</f>
        <v>0</v>
      </c>
      <c r="AI18" s="33">
        <f>IF(AF18&gt;$AD$4,NA(),Rekap!$B$19/$AD$4*AF18)</f>
        <v>130104.83870967741</v>
      </c>
      <c r="AJ18" s="33" t="str">
        <f>Master!$A$22</f>
        <v>Kategori Uji 18</v>
      </c>
      <c r="AK18" s="33">
        <f>SUMIFS(MayTable[Jumlah (Rp)],MayTable[Tipe],"Pengeluaran",MayTable[Kategori],AJ18)</f>
        <v>0</v>
      </c>
      <c r="AL18" s="33">
        <f>SUMIFS(AprilTable[Jumlah (Rp)],AprilTable[Tipe],"Pengeluaran",AprilTable[Kategori],AJ18)</f>
        <v>0</v>
      </c>
      <c r="AM18" s="33">
        <f t="shared" si="0"/>
        <v>1.8E-5</v>
      </c>
      <c r="AN18" s="33"/>
      <c r="AO18" s="33"/>
    </row>
    <row r="19" spans="1:41" ht="24.75" customHeight="1" x14ac:dyDescent="0.25">
      <c r="A19" s="5"/>
      <c r="B19" s="3"/>
      <c r="C19" s="3"/>
      <c r="D19" s="3"/>
      <c r="E19" s="6"/>
      <c r="F19" s="4"/>
      <c r="K19" s="52" t="s">
        <v>80</v>
      </c>
      <c r="L19" s="53"/>
      <c r="M19" s="42">
        <f ca="1">M17-M18</f>
        <v>0</v>
      </c>
      <c r="N19" s="33"/>
      <c r="O19" s="33"/>
      <c r="P19" s="33"/>
      <c r="Q19" s="33"/>
      <c r="R19" s="35" t="str">
        <f>IF($AO$1=0,"",INDEX($AJ$1:$AJ$23,$AO$1))</f>
        <v>Kategori Uji 24</v>
      </c>
      <c r="S19" s="37">
        <f>IF($AO$1=0,"",INDEX($AL$1:$AL$23,$AO$1))</f>
        <v>0</v>
      </c>
      <c r="T19" s="37">
        <f>IF($AO$1=0,"",INDEX($AK$1:$AK$23,$AO$1))</f>
        <v>0</v>
      </c>
      <c r="U19" s="37">
        <f>IF($R19="","",T19-S19)</f>
        <v>0</v>
      </c>
      <c r="V19" s="48" t="str">
        <f>IFERROR(U19/S19,"")</f>
        <v/>
      </c>
      <c r="AD19" s="33"/>
      <c r="AE19" s="33"/>
      <c r="AF19" s="33">
        <v>18</v>
      </c>
      <c r="AG19" s="33">
        <f t="shared" si="1"/>
        <v>46160</v>
      </c>
      <c r="AH19" s="33">
        <f ca="1">IF(OR(AF19&gt;$AD$4,AF19&gt;$AD$3),NA(),SUMIFS(MayTable[Jumlah (Rp)],MayTable[Tipe],"Pengeluaran",MayTable[Tanggal],"&lt;="&amp;AG19))</f>
        <v>0</v>
      </c>
      <c r="AI19" s="33">
        <f>IF(AF19&gt;$AD$4,NA(),Rekap!$B$19/$AD$4*AF19)</f>
        <v>137758.06451612903</v>
      </c>
      <c r="AJ19" s="33" t="str">
        <f>Master!$A$23</f>
        <v>Kategori Uji 19</v>
      </c>
      <c r="AK19" s="33">
        <f>SUMIFS(MayTable[Jumlah (Rp)],MayTable[Tipe],"Pengeluaran",MayTable[Kategori],AJ19)</f>
        <v>0</v>
      </c>
      <c r="AL19" s="33">
        <f>SUMIFS(AprilTable[Jumlah (Rp)],AprilTable[Tipe],"Pengeluaran",AprilTable[Kategori],AJ19)</f>
        <v>0</v>
      </c>
      <c r="AM19" s="33">
        <f t="shared" si="0"/>
        <v>1.9000000000000001E-5</v>
      </c>
      <c r="AN19" s="33"/>
      <c r="AO19" s="33"/>
    </row>
    <row r="20" spans="1:41" ht="24.75" customHeight="1" x14ac:dyDescent="0.25">
      <c r="A20" s="5"/>
      <c r="B20" s="3"/>
      <c r="C20" s="3"/>
      <c r="D20" s="3"/>
      <c r="E20" s="6"/>
      <c r="F20" s="4"/>
      <c r="K20" s="52" t="s">
        <v>81</v>
      </c>
      <c r="L20" s="53"/>
      <c r="M20" s="42">
        <f ca="1">D1+M17-M18</f>
        <v>0</v>
      </c>
      <c r="N20" s="33"/>
      <c r="O20" s="33"/>
      <c r="P20" s="33"/>
      <c r="Q20" s="33"/>
      <c r="R20" s="35" t="str">
        <f>IF($AO$2=0,"",INDEX($AJ$1:$AJ$23,$AO$2))</f>
        <v>Kategori Uji 23</v>
      </c>
      <c r="S20" s="37">
        <f>IF($AO$2=0,"",INDEX($AL$1:$AL$23,$AO$2))</f>
        <v>0</v>
      </c>
      <c r="T20" s="37">
        <f>IF($AO$2=0,"",INDEX($AK$1:$AK$23,$AO$2))</f>
        <v>0</v>
      </c>
      <c r="U20" s="37">
        <f>IF($R20="","",T20-S20)</f>
        <v>0</v>
      </c>
      <c r="V20" s="48" t="str">
        <f>IFERROR(U20/S20,"")</f>
        <v/>
      </c>
      <c r="AD20" s="33"/>
      <c r="AE20" s="33"/>
      <c r="AF20" s="33">
        <v>19</v>
      </c>
      <c r="AG20" s="33">
        <f t="shared" si="1"/>
        <v>46161</v>
      </c>
      <c r="AH20" s="33">
        <f ca="1">IF(OR(AF20&gt;$AD$4,AF20&gt;$AD$3),NA(),SUMIFS(MayTable[Jumlah (Rp)],MayTable[Tipe],"Pengeluaran",MayTable[Tanggal],"&lt;="&amp;AG20))</f>
        <v>0</v>
      </c>
      <c r="AI20" s="33">
        <f>IF(AF20&gt;$AD$4,NA(),Rekap!$B$19/$AD$4*AF20)</f>
        <v>145411.29032258064</v>
      </c>
      <c r="AJ20" s="33" t="str">
        <f>Master!$A$24</f>
        <v>Kategori Uji 20</v>
      </c>
      <c r="AK20" s="33">
        <f>SUMIFS(MayTable[Jumlah (Rp)],MayTable[Tipe],"Pengeluaran",MayTable[Kategori],AJ20)</f>
        <v>0</v>
      </c>
      <c r="AL20" s="33">
        <f>SUMIFS(AprilTable[Jumlah (Rp)],AprilTable[Tipe],"Pengeluaran",AprilTable[Kategori],AJ20)</f>
        <v>0</v>
      </c>
      <c r="AM20" s="33">
        <f t="shared" si="0"/>
        <v>2.0000000000000002E-5</v>
      </c>
      <c r="AN20" s="33"/>
      <c r="AO20" s="33"/>
    </row>
    <row r="21" spans="1:41" ht="24.75" customHeight="1" x14ac:dyDescent="0.25">
      <c r="A21" s="5"/>
      <c r="B21" s="3"/>
      <c r="C21" s="3"/>
      <c r="D21" s="3"/>
      <c r="E21" s="6"/>
      <c r="F21" s="4"/>
      <c r="K21" s="46" t="s">
        <v>82</v>
      </c>
      <c r="L21" s="33"/>
      <c r="M21" s="33"/>
      <c r="N21" s="33"/>
      <c r="O21" s="33"/>
      <c r="P21" s="33"/>
      <c r="Q21" s="33"/>
      <c r="R21" s="35" t="str">
        <f>IF($AO$3=0,"",INDEX($AJ$1:$AJ$23,$AO$3))</f>
        <v>Kategori Uji 21</v>
      </c>
      <c r="S21" s="37">
        <f>IF($AO$3=0,"",INDEX($AL$1:$AL$23,$AO$3))</f>
        <v>0</v>
      </c>
      <c r="T21" s="37">
        <f>IF($AO$3=0,"",INDEX($AK$1:$AK$23,$AO$3))</f>
        <v>0</v>
      </c>
      <c r="U21" s="37">
        <f>IF($R21="","",T21-S21)</f>
        <v>0</v>
      </c>
      <c r="V21" s="48" t="str">
        <f>IFERROR(U21/S21,"")</f>
        <v/>
      </c>
      <c r="AD21" s="33"/>
      <c r="AE21" s="33"/>
      <c r="AF21" s="33">
        <v>20</v>
      </c>
      <c r="AG21" s="33">
        <f t="shared" si="1"/>
        <v>46162</v>
      </c>
      <c r="AH21" s="33">
        <f ca="1">IF(OR(AF21&gt;$AD$4,AF21&gt;$AD$3),NA(),SUMIFS(MayTable[Jumlah (Rp)],MayTable[Tipe],"Pengeluaran",MayTable[Tanggal],"&lt;="&amp;AG21))</f>
        <v>0</v>
      </c>
      <c r="AI21" s="33">
        <f>IF(AF21&gt;$AD$4,NA(),Rekap!$B$19/$AD$4*AF21)</f>
        <v>153064.51612903224</v>
      </c>
      <c r="AJ21" s="33" t="str">
        <f>Master!$A$25</f>
        <v>Kategori Uji 21</v>
      </c>
      <c r="AK21" s="33">
        <f>SUMIFS(MayTable[Jumlah (Rp)],MayTable[Tipe],"Pengeluaran",MayTable[Kategori],AJ21)</f>
        <v>0</v>
      </c>
      <c r="AL21" s="33">
        <f>SUMIFS(AprilTable[Jumlah (Rp)],AprilTable[Tipe],"Pengeluaran",AprilTable[Kategori],AJ21)</f>
        <v>0</v>
      </c>
      <c r="AM21" s="33">
        <f t="shared" si="0"/>
        <v>2.0999999999999999E-5</v>
      </c>
      <c r="AN21" s="33"/>
      <c r="AO21" s="33"/>
    </row>
    <row r="22" spans="1:41" ht="24.75" customHeight="1" x14ac:dyDescent="0.25">
      <c r="A22" s="5"/>
      <c r="B22" s="3"/>
      <c r="C22" s="3"/>
      <c r="D22" s="3"/>
      <c r="E22" s="6"/>
      <c r="F22" s="4"/>
      <c r="K22" s="33"/>
      <c r="L22" s="33"/>
      <c r="M22" s="33"/>
      <c r="N22" s="33"/>
      <c r="O22" s="33"/>
      <c r="P22" s="33"/>
      <c r="Q22" s="33"/>
      <c r="R22" s="35" t="str">
        <f>IF($AO$4=0,"",INDEX($AJ$1:$AJ$23,$AO$4))</f>
        <v>Kategori Uji 20</v>
      </c>
      <c r="S22" s="37">
        <f>IF($AO$4=0,"",INDEX($AL$1:$AL$23,$AO$4))</f>
        <v>0</v>
      </c>
      <c r="T22" s="37">
        <f>IF($AO$4=0,"",INDEX($AK$1:$AK$23,$AO$4))</f>
        <v>0</v>
      </c>
      <c r="U22" s="37">
        <f>IF($R22="","",T22-S22)</f>
        <v>0</v>
      </c>
      <c r="V22" s="48" t="str">
        <f>IFERROR(U22/S22,"")</f>
        <v/>
      </c>
      <c r="AD22" s="33"/>
      <c r="AE22" s="33"/>
      <c r="AF22" s="33">
        <v>21</v>
      </c>
      <c r="AG22" s="33">
        <f t="shared" si="1"/>
        <v>46163</v>
      </c>
      <c r="AH22" s="33">
        <f ca="1">IF(OR(AF22&gt;$AD$4,AF22&gt;$AD$3),NA(),SUMIFS(MayTable[Jumlah (Rp)],MayTable[Tipe],"Pengeluaran",MayTable[Tanggal],"&lt;="&amp;AG22))</f>
        <v>0</v>
      </c>
      <c r="AI22" s="33">
        <f>IF(AF22&gt;$AD$4,NA(),Rekap!$B$19/$AD$4*AF22)</f>
        <v>160717.74193548388</v>
      </c>
      <c r="AJ22" s="33" t="str">
        <f>Master!$A$27</f>
        <v>Kategori Uji 23</v>
      </c>
      <c r="AK22" s="33">
        <f>SUMIFS(MayTable[Jumlah (Rp)],MayTable[Tipe],"Pengeluaran",MayTable[Kategori],AJ22)</f>
        <v>0</v>
      </c>
      <c r="AL22" s="33">
        <f>SUMIFS(AprilTable[Jumlah (Rp)],AprilTable[Tipe],"Pengeluaran",AprilTable[Kategori],AJ22)</f>
        <v>0</v>
      </c>
      <c r="AM22" s="33">
        <f t="shared" si="0"/>
        <v>2.1999999999999999E-5</v>
      </c>
      <c r="AN22" s="33"/>
      <c r="AO22" s="33"/>
    </row>
    <row r="23" spans="1:41" ht="24.75" customHeight="1" x14ac:dyDescent="0.25">
      <c r="A23" s="5"/>
      <c r="B23" s="3"/>
      <c r="C23" s="3"/>
      <c r="D23" s="3"/>
      <c r="E23" s="6"/>
      <c r="F23" s="4"/>
      <c r="K23" s="32" t="s">
        <v>83</v>
      </c>
      <c r="L23" s="33"/>
      <c r="M23" s="33"/>
      <c r="N23" s="33"/>
      <c r="O23" s="33"/>
      <c r="P23" s="33"/>
      <c r="Q23" s="33"/>
      <c r="R23" s="35" t="str">
        <f>IF($AO$5=0,"",INDEX($AJ$1:$AJ$23,$AO$5))</f>
        <v>Kategori Uji 19</v>
      </c>
      <c r="S23" s="37">
        <f>IF($AO$5=0,"",INDEX($AL$1:$AL$23,$AO$5))</f>
        <v>0</v>
      </c>
      <c r="T23" s="37">
        <f>IF($AO$5=0,"",INDEX($AK$1:$AK$23,$AO$5))</f>
        <v>0</v>
      </c>
      <c r="U23" s="37">
        <f>IF($R23="","",T23-S23)</f>
        <v>0</v>
      </c>
      <c r="V23" s="48" t="str">
        <f>IFERROR(U23/S23,"")</f>
        <v/>
      </c>
      <c r="AD23" s="33"/>
      <c r="AE23" s="33"/>
      <c r="AF23" s="33">
        <v>22</v>
      </c>
      <c r="AG23" s="33">
        <f t="shared" si="1"/>
        <v>46164</v>
      </c>
      <c r="AH23" s="33">
        <f ca="1">IF(OR(AF23&gt;$AD$4,AF23&gt;$AD$3),NA(),SUMIFS(MayTable[Jumlah (Rp)],MayTable[Tipe],"Pengeluaran",MayTable[Tanggal],"&lt;="&amp;AG23))</f>
        <v>0</v>
      </c>
      <c r="AI23" s="33">
        <f>IF(AF23&gt;$AD$4,NA(),Rekap!$B$19/$AD$4*AF23)</f>
        <v>168370.96774193548</v>
      </c>
      <c r="AJ23" s="33" t="str">
        <f>Master!$A$28</f>
        <v>Kategori Uji 24</v>
      </c>
      <c r="AK23" s="33">
        <f>SUMIFS(MayTable[Jumlah (Rp)],MayTable[Tipe],"Pengeluaran",MayTable[Kategori],AJ23)</f>
        <v>0</v>
      </c>
      <c r="AL23" s="33">
        <f>SUMIFS(AprilTable[Jumlah (Rp)],AprilTable[Tipe],"Pengeluaran",AprilTable[Kategori],AJ23)</f>
        <v>0</v>
      </c>
      <c r="AM23" s="33">
        <f t="shared" si="0"/>
        <v>2.3E-5</v>
      </c>
      <c r="AN23" s="33"/>
      <c r="AO23" s="33"/>
    </row>
    <row r="24" spans="1:41" ht="24.75" customHeight="1" x14ac:dyDescent="0.25">
      <c r="A24" s="5"/>
      <c r="B24" s="3"/>
      <c r="C24" s="3"/>
      <c r="D24" s="3"/>
      <c r="E24" s="6"/>
      <c r="F24" s="4"/>
      <c r="K24" s="56" t="s">
        <v>84</v>
      </c>
      <c r="L24" s="53"/>
      <c r="M24" s="34" t="s">
        <v>70</v>
      </c>
      <c r="N24" s="33"/>
      <c r="O24" s="33"/>
      <c r="P24" s="33"/>
      <c r="Q24" s="33"/>
      <c r="R24" s="33"/>
      <c r="S24" s="33"/>
      <c r="T24" s="33"/>
      <c r="U24" s="33"/>
      <c r="V24" s="33"/>
      <c r="AD24" s="33"/>
      <c r="AE24" s="33"/>
      <c r="AF24" s="33">
        <v>23</v>
      </c>
      <c r="AG24" s="33">
        <f t="shared" si="1"/>
        <v>46165</v>
      </c>
      <c r="AH24" s="33">
        <f ca="1">IF(OR(AF24&gt;$AD$4,AF24&gt;$AD$3),NA(),SUMIFS(MayTable[Jumlah (Rp)],MayTable[Tipe],"Pengeluaran",MayTable[Tanggal],"&lt;="&amp;AG24))</f>
        <v>0</v>
      </c>
      <c r="AI24" s="33">
        <f>IF(AF24&gt;$AD$4,NA(),Rekap!$B$19/$AD$4*AF24)</f>
        <v>176024.19354838709</v>
      </c>
      <c r="AJ24" s="33"/>
      <c r="AK24" s="33"/>
      <c r="AL24" s="33"/>
      <c r="AM24" s="33"/>
      <c r="AN24" s="33"/>
      <c r="AO24" s="33"/>
    </row>
    <row r="25" spans="1:41" ht="24.75" customHeight="1" x14ac:dyDescent="0.25">
      <c r="A25" s="5"/>
      <c r="B25" s="3"/>
      <c r="C25" s="3"/>
      <c r="D25" s="3"/>
      <c r="E25" s="6"/>
      <c r="F25" s="4"/>
      <c r="K25" s="54" t="s">
        <v>85</v>
      </c>
      <c r="L25" s="53"/>
      <c r="M25" s="47">
        <f ca="1">AD3</f>
        <v>31</v>
      </c>
      <c r="N25" s="33"/>
      <c r="O25" s="33"/>
      <c r="P25" s="33"/>
      <c r="Q25" s="33"/>
      <c r="R25" s="32" t="s">
        <v>86</v>
      </c>
      <c r="S25" s="33"/>
      <c r="T25" s="33"/>
      <c r="U25" s="33"/>
      <c r="V25" s="33"/>
      <c r="AD25" s="33"/>
      <c r="AE25" s="33"/>
      <c r="AF25" s="33">
        <v>24</v>
      </c>
      <c r="AG25" s="33">
        <f t="shared" si="1"/>
        <v>46166</v>
      </c>
      <c r="AH25" s="33">
        <f ca="1">IF(OR(AF25&gt;$AD$4,AF25&gt;$AD$3),NA(),SUMIFS(MayTable[Jumlah (Rp)],MayTable[Tipe],"Pengeluaran",MayTable[Tanggal],"&lt;="&amp;AG25))</f>
        <v>0</v>
      </c>
      <c r="AI25" s="33">
        <f>IF(AF25&gt;$AD$4,NA(),Rekap!$B$19/$AD$4*AF25)</f>
        <v>183677.4193548387</v>
      </c>
      <c r="AJ25" s="33"/>
      <c r="AK25" s="33"/>
      <c r="AL25" s="33"/>
      <c r="AM25" s="33"/>
      <c r="AN25" s="33"/>
      <c r="AO25" s="33"/>
    </row>
    <row r="26" spans="1:41" ht="24.75" customHeight="1" x14ac:dyDescent="0.25">
      <c r="A26" s="5"/>
      <c r="B26" s="3"/>
      <c r="C26" s="3"/>
      <c r="D26" s="3"/>
      <c r="E26" s="6"/>
      <c r="F26" s="4"/>
      <c r="K26" s="54" t="s">
        <v>87</v>
      </c>
      <c r="L26" s="53"/>
      <c r="M26" s="47">
        <f>AD4</f>
        <v>31</v>
      </c>
      <c r="N26" s="33"/>
      <c r="O26" s="33"/>
      <c r="P26" s="33"/>
      <c r="Q26" s="33"/>
      <c r="R26" s="33"/>
      <c r="S26" s="33"/>
      <c r="T26" s="33"/>
      <c r="U26" s="33"/>
      <c r="V26" s="33"/>
      <c r="AD26" s="33"/>
      <c r="AE26" s="33"/>
      <c r="AF26" s="33">
        <v>25</v>
      </c>
      <c r="AG26" s="33">
        <f t="shared" si="1"/>
        <v>46167</v>
      </c>
      <c r="AH26" s="33">
        <f ca="1">IF(OR(AF26&gt;$AD$4,AF26&gt;$AD$3),NA(),SUMIFS(MayTable[Jumlah (Rp)],MayTable[Tipe],"Pengeluaran",MayTable[Tanggal],"&lt;="&amp;AG26))</f>
        <v>0</v>
      </c>
      <c r="AI26" s="33">
        <f>IF(AF26&gt;$AD$4,NA(),Rekap!$B$19/$AD$4*AF26)</f>
        <v>191330.6451612903</v>
      </c>
      <c r="AJ26" s="33"/>
      <c r="AK26" s="33"/>
      <c r="AL26" s="33"/>
      <c r="AM26" s="33"/>
      <c r="AN26" s="33"/>
      <c r="AO26" s="33"/>
    </row>
    <row r="27" spans="1:41" ht="24.75" customHeight="1" x14ac:dyDescent="0.25">
      <c r="A27" s="5"/>
      <c r="B27" s="3"/>
      <c r="C27" s="3"/>
      <c r="D27" s="3"/>
      <c r="E27" s="6"/>
      <c r="F27" s="4"/>
      <c r="K27" s="54" t="s">
        <v>88</v>
      </c>
      <c r="L27" s="53"/>
      <c r="M27" s="37">
        <f>D3</f>
        <v>0</v>
      </c>
      <c r="N27" s="33"/>
      <c r="O27" s="33"/>
      <c r="P27" s="33"/>
      <c r="Q27" s="33"/>
      <c r="R27" s="33"/>
      <c r="S27" s="33"/>
      <c r="T27" s="33"/>
      <c r="U27" s="33"/>
      <c r="V27" s="33"/>
      <c r="AD27" s="33"/>
      <c r="AE27" s="33"/>
      <c r="AF27" s="33">
        <v>26</v>
      </c>
      <c r="AG27" s="33">
        <f t="shared" si="1"/>
        <v>46168</v>
      </c>
      <c r="AH27" s="33">
        <f ca="1">IF(OR(AF27&gt;$AD$4,AF27&gt;$AD$3),NA(),SUMIFS(MayTable[Jumlah (Rp)],MayTable[Tipe],"Pengeluaran",MayTable[Tanggal],"&lt;="&amp;AG27))</f>
        <v>0</v>
      </c>
      <c r="AI27" s="33">
        <f>IF(AF27&gt;$AD$4,NA(),Rekap!$B$19/$AD$4*AF27)</f>
        <v>198983.87096774194</v>
      </c>
      <c r="AJ27" s="33"/>
      <c r="AK27" s="33"/>
      <c r="AL27" s="33"/>
      <c r="AM27" s="33"/>
      <c r="AN27" s="33"/>
      <c r="AO27" s="33"/>
    </row>
    <row r="28" spans="1:41" ht="24.75" customHeight="1" x14ac:dyDescent="0.25">
      <c r="A28" s="5"/>
      <c r="B28" s="3"/>
      <c r="C28" s="3"/>
      <c r="D28" s="3"/>
      <c r="E28" s="6"/>
      <c r="F28" s="4"/>
      <c r="K28" s="54" t="s">
        <v>89</v>
      </c>
      <c r="L28" s="53"/>
      <c r="M28" s="37">
        <f ca="1">IFERROR(M27/M25,0)</f>
        <v>0</v>
      </c>
      <c r="N28" s="33"/>
      <c r="O28" s="33"/>
      <c r="P28" s="33"/>
      <c r="Q28" s="33"/>
      <c r="R28" s="33"/>
      <c r="S28" s="33"/>
      <c r="T28" s="33"/>
      <c r="U28" s="33"/>
      <c r="V28" s="33"/>
      <c r="AD28" s="33"/>
      <c r="AE28" s="33"/>
      <c r="AF28" s="33">
        <v>27</v>
      </c>
      <c r="AG28" s="33">
        <f t="shared" si="1"/>
        <v>46169</v>
      </c>
      <c r="AH28" s="33">
        <f ca="1">IF(OR(AF28&gt;$AD$4,AF28&gt;$AD$3),NA(),SUMIFS(MayTable[Jumlah (Rp)],MayTable[Tipe],"Pengeluaran",MayTable[Tanggal],"&lt;="&amp;AG28))</f>
        <v>0</v>
      </c>
      <c r="AI28" s="33">
        <f>IF(AF28&gt;$AD$4,NA(),Rekap!$B$19/$AD$4*AF28)</f>
        <v>206637.09677419355</v>
      </c>
      <c r="AJ28" s="33"/>
      <c r="AK28" s="33"/>
      <c r="AL28" s="33"/>
      <c r="AM28" s="33"/>
      <c r="AN28" s="33"/>
      <c r="AO28" s="33"/>
    </row>
    <row r="29" spans="1:41" ht="24.75" customHeight="1" x14ac:dyDescent="0.25">
      <c r="A29" s="5"/>
      <c r="B29" s="3"/>
      <c r="C29" s="3"/>
      <c r="D29" s="3"/>
      <c r="E29" s="6"/>
      <c r="F29" s="4"/>
      <c r="K29" s="52" t="s">
        <v>90</v>
      </c>
      <c r="L29" s="53"/>
      <c r="M29" s="42">
        <f ca="1">M28*M26</f>
        <v>0</v>
      </c>
      <c r="N29" s="33"/>
      <c r="O29" s="33"/>
      <c r="P29" s="33"/>
      <c r="Q29" s="33"/>
      <c r="R29" s="33"/>
      <c r="S29" s="33"/>
      <c r="T29" s="33"/>
      <c r="U29" s="33"/>
      <c r="V29" s="33"/>
      <c r="AD29" s="33"/>
      <c r="AE29" s="33"/>
      <c r="AF29" s="33">
        <v>28</v>
      </c>
      <c r="AG29" s="33">
        <f t="shared" si="1"/>
        <v>46170</v>
      </c>
      <c r="AH29" s="33">
        <f ca="1">IF(OR(AF29&gt;$AD$4,AF29&gt;$AD$3),NA(),SUMIFS(MayTable[Jumlah (Rp)],MayTable[Tipe],"Pengeluaran",MayTable[Tanggal],"&lt;="&amp;AG29))</f>
        <v>0</v>
      </c>
      <c r="AI29" s="33">
        <f>IF(AF29&gt;$AD$4,NA(),Rekap!$B$19/$AD$4*AF29)</f>
        <v>214290.32258064515</v>
      </c>
      <c r="AJ29" s="33"/>
      <c r="AK29" s="33"/>
      <c r="AL29" s="33"/>
      <c r="AM29" s="33"/>
      <c r="AN29" s="33"/>
      <c r="AO29" s="33"/>
    </row>
    <row r="30" spans="1:41" ht="24.75" customHeight="1" x14ac:dyDescent="0.25">
      <c r="A30" s="5"/>
      <c r="B30" s="3"/>
      <c r="C30" s="3"/>
      <c r="D30" s="3"/>
      <c r="E30" s="6"/>
      <c r="F30" s="4"/>
      <c r="K30" s="54" t="s">
        <v>91</v>
      </c>
      <c r="L30" s="53"/>
      <c r="M30" s="37">
        <f>Rekap!$B$19</f>
        <v>237250</v>
      </c>
      <c r="N30" s="33"/>
      <c r="O30" s="33"/>
      <c r="P30" s="33"/>
      <c r="Q30" s="33"/>
      <c r="R30" s="33"/>
      <c r="S30" s="33"/>
      <c r="T30" s="33"/>
      <c r="U30" s="33"/>
      <c r="V30" s="33"/>
      <c r="AD30" s="33"/>
      <c r="AE30" s="33"/>
      <c r="AF30" s="33">
        <v>29</v>
      </c>
      <c r="AG30" s="33">
        <f t="shared" si="1"/>
        <v>46171</v>
      </c>
      <c r="AH30" s="33">
        <f ca="1">IF(OR(AF30&gt;$AD$4,AF30&gt;$AD$3),NA(),SUMIFS(MayTable[Jumlah (Rp)],MayTable[Tipe],"Pengeluaran",MayTable[Tanggal],"&lt;="&amp;AG30))</f>
        <v>0</v>
      </c>
      <c r="AI30" s="33">
        <f>IF(AF30&gt;$AD$4,NA(),Rekap!$B$19/$AD$4*AF30)</f>
        <v>221943.54838709676</v>
      </c>
      <c r="AJ30" s="33"/>
      <c r="AK30" s="33"/>
      <c r="AL30" s="33"/>
      <c r="AM30" s="33"/>
      <c r="AN30" s="33"/>
      <c r="AO30" s="33"/>
    </row>
    <row r="31" spans="1:41" ht="24.75" customHeight="1" x14ac:dyDescent="0.25">
      <c r="A31" s="5"/>
      <c r="B31" s="3"/>
      <c r="C31" s="3"/>
      <c r="D31" s="3"/>
      <c r="E31" s="6"/>
      <c r="F31" s="4"/>
      <c r="K31" s="54" t="s">
        <v>93</v>
      </c>
      <c r="L31" s="53"/>
      <c r="M31" s="37">
        <f>SUM(Master!$C$5:$C$81)</f>
        <v>30000000</v>
      </c>
      <c r="N31" s="33"/>
      <c r="O31" s="33"/>
      <c r="P31" s="33"/>
      <c r="Q31" s="33"/>
      <c r="R31" s="33"/>
      <c r="S31" s="33"/>
      <c r="T31" s="33"/>
      <c r="U31" s="33"/>
      <c r="V31" s="33"/>
      <c r="AD31" s="33"/>
      <c r="AE31" s="33"/>
      <c r="AF31" s="33">
        <v>30</v>
      </c>
      <c r="AG31" s="33">
        <f t="shared" si="1"/>
        <v>46172</v>
      </c>
      <c r="AH31" s="33">
        <f ca="1">IF(OR(AF31&gt;$AD$4,AF31&gt;$AD$3),NA(),SUMIFS(MayTable[Jumlah (Rp)],MayTable[Tipe],"Pengeluaran",MayTable[Tanggal],"&lt;="&amp;AG31))</f>
        <v>0</v>
      </c>
      <c r="AI31" s="33">
        <f>IF(AF31&gt;$AD$4,NA(),Rekap!$B$19/$AD$4*AF31)</f>
        <v>229596.77419354839</v>
      </c>
      <c r="AJ31" s="33"/>
      <c r="AK31" s="33"/>
      <c r="AL31" s="33"/>
      <c r="AM31" s="33"/>
      <c r="AN31" s="33"/>
      <c r="AO31" s="33"/>
    </row>
    <row r="32" spans="1:41" ht="24.75" customHeight="1" x14ac:dyDescent="0.25">
      <c r="A32" s="5"/>
      <c r="B32" s="3"/>
      <c r="C32" s="3"/>
      <c r="D32" s="3"/>
      <c r="E32" s="6"/>
      <c r="F32" s="4"/>
      <c r="K32" s="52" t="s">
        <v>58</v>
      </c>
      <c r="L32" s="53"/>
      <c r="M32" s="40" t="str">
        <f ca="1">IF(M25=0,"belum mulai",IF(M29&gt;M30,"di atas kebiasaan","di bawah kebiasaan"))</f>
        <v>di bawah kebiasaan</v>
      </c>
      <c r="N32" s="33"/>
      <c r="O32" s="33"/>
      <c r="P32" s="33"/>
      <c r="Q32" s="33"/>
      <c r="R32" s="33"/>
      <c r="S32" s="33"/>
      <c r="T32" s="33"/>
      <c r="U32" s="33"/>
      <c r="V32" s="33"/>
      <c r="AD32" s="33"/>
      <c r="AE32" s="33"/>
      <c r="AF32" s="33">
        <v>31</v>
      </c>
      <c r="AG32" s="33">
        <f t="shared" si="1"/>
        <v>46173</v>
      </c>
      <c r="AH32" s="33">
        <f ca="1">IF(OR(AF32&gt;$AD$4,AF32&gt;$AD$3),NA(),SUMIFS(MayTable[Jumlah (Rp)],MayTable[Tipe],"Pengeluaran",MayTable[Tanggal],"&lt;="&amp;AG32))</f>
        <v>0</v>
      </c>
      <c r="AI32" s="33">
        <f>IF(AF32&gt;$AD$4,NA(),Rekap!$B$19/$AD$4*AF32)</f>
        <v>237250</v>
      </c>
      <c r="AJ32" s="33"/>
      <c r="AK32" s="33"/>
      <c r="AL32" s="33"/>
      <c r="AM32" s="33"/>
      <c r="AN32" s="33"/>
      <c r="AO32" s="33"/>
    </row>
    <row r="33" spans="1:41" ht="24.75" customHeight="1" x14ac:dyDescent="0.25">
      <c r="A33" s="5"/>
      <c r="B33" s="3"/>
      <c r="C33" s="3"/>
      <c r="D33" s="3"/>
      <c r="E33" s="6"/>
      <c r="F33" s="4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</row>
    <row r="34" spans="1:41" ht="24.75" customHeight="1" x14ac:dyDescent="0.25">
      <c r="A34" s="5"/>
      <c r="B34" s="3"/>
      <c r="C34" s="3"/>
      <c r="D34" s="3"/>
      <c r="E34" s="6"/>
      <c r="F34" s="4"/>
      <c r="K34" s="32" t="s">
        <v>94</v>
      </c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</row>
    <row r="35" spans="1:41" ht="24.75" customHeight="1" x14ac:dyDescent="0.25">
      <c r="A35" s="5"/>
      <c r="B35" s="3"/>
      <c r="C35" s="3"/>
      <c r="D35" s="3"/>
      <c r="E35" s="6"/>
      <c r="F35" s="4"/>
      <c r="K35" s="34" t="s">
        <v>43</v>
      </c>
      <c r="L35" s="34" t="s">
        <v>37</v>
      </c>
      <c r="M35" s="34" t="s">
        <v>44</v>
      </c>
      <c r="N35" s="33"/>
      <c r="O35" s="33"/>
      <c r="P35" s="33"/>
      <c r="Q35" s="33"/>
      <c r="R35" s="33"/>
      <c r="S35" s="33"/>
      <c r="T35" s="33"/>
      <c r="U35" s="33"/>
      <c r="V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</row>
    <row r="36" spans="1:41" ht="24.75" customHeight="1" x14ac:dyDescent="0.25">
      <c r="A36" s="5"/>
      <c r="B36" s="3"/>
      <c r="C36" s="3"/>
      <c r="D36" s="3"/>
      <c r="E36" s="6"/>
      <c r="F36" s="4"/>
      <c r="K36" s="35" t="str">
        <f>Master!$G$5</f>
        <v>Tunai Uji</v>
      </c>
      <c r="L36" s="37">
        <f>SUMIFS(MayTable[Jumlah (Rp)],MayTable[Tipe],"Pengeluaran",MayTable[Pembayaran],K36)</f>
        <v>0</v>
      </c>
      <c r="M36" s="48">
        <f t="shared" ref="M36:M44" si="2">IFERROR(L36/$D$3,0)</f>
        <v>0</v>
      </c>
      <c r="N36" s="33"/>
      <c r="O36" s="33"/>
      <c r="P36" s="33"/>
      <c r="Q36" s="33"/>
      <c r="R36" s="33"/>
      <c r="S36" s="33"/>
      <c r="T36" s="33"/>
      <c r="U36" s="33"/>
      <c r="V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</row>
    <row r="37" spans="1:41" ht="24.75" customHeight="1" x14ac:dyDescent="0.25">
      <c r="A37" s="5"/>
      <c r="B37" s="3"/>
      <c r="C37" s="3"/>
      <c r="D37" s="3"/>
      <c r="E37" s="6"/>
      <c r="F37" s="4"/>
      <c r="K37" s="35" t="str">
        <f>Master!$G$6</f>
        <v>Bank Uji</v>
      </c>
      <c r="L37" s="37">
        <f>SUMIFS(MayTable[Jumlah (Rp)],MayTable[Tipe],"Pengeluaran",MayTable[Pembayaran],K37)</f>
        <v>0</v>
      </c>
      <c r="M37" s="48">
        <f t="shared" si="2"/>
        <v>0</v>
      </c>
      <c r="N37" s="33"/>
      <c r="O37" s="33"/>
      <c r="P37" s="33"/>
      <c r="Q37" s="33"/>
      <c r="R37" s="33"/>
      <c r="S37" s="33"/>
      <c r="T37" s="33"/>
      <c r="U37" s="33"/>
      <c r="V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</row>
    <row r="38" spans="1:41" ht="24.75" customHeight="1" x14ac:dyDescent="0.25">
      <c r="A38" s="5"/>
      <c r="B38" s="3"/>
      <c r="C38" s="3"/>
      <c r="D38" s="3"/>
      <c r="E38" s="6"/>
      <c r="F38" s="4"/>
      <c r="K38" s="35" t="str">
        <f>Master!$G$7</f>
        <v>Dompet Uji</v>
      </c>
      <c r="L38" s="37">
        <f>SUMIFS(MayTable[Jumlah (Rp)],MayTable[Tipe],"Pengeluaran",MayTable[Pembayaran],K38)</f>
        <v>0</v>
      </c>
      <c r="M38" s="48">
        <f t="shared" si="2"/>
        <v>0</v>
      </c>
      <c r="N38" s="33"/>
      <c r="O38" s="33"/>
      <c r="P38" s="33"/>
      <c r="Q38" s="33"/>
      <c r="R38" s="33"/>
      <c r="S38" s="33"/>
      <c r="T38" s="33"/>
      <c r="U38" s="33"/>
      <c r="V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</row>
    <row r="39" spans="1:41" ht="24.75" customHeight="1" x14ac:dyDescent="0.25">
      <c r="A39" s="5"/>
      <c r="B39" s="3"/>
      <c r="C39" s="3"/>
      <c r="D39" s="3"/>
      <c r="E39" s="6"/>
      <c r="F39" s="4"/>
      <c r="K39" s="35" t="str">
        <f>Master!$G$8</f>
        <v>Kartu Uji</v>
      </c>
      <c r="L39" s="37">
        <f>SUMIFS(MayTable[Jumlah (Rp)],MayTable[Tipe],"Pengeluaran",MayTable[Pembayaran],K39)</f>
        <v>0</v>
      </c>
      <c r="M39" s="48">
        <f t="shared" si="2"/>
        <v>0</v>
      </c>
      <c r="N39" s="33"/>
      <c r="O39" s="33"/>
      <c r="P39" s="33"/>
      <c r="Q39" s="33"/>
      <c r="R39" s="33"/>
      <c r="S39" s="33"/>
      <c r="T39" s="33"/>
      <c r="U39" s="33"/>
      <c r="V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</row>
    <row r="40" spans="1:41" ht="24.75" customHeight="1" x14ac:dyDescent="0.25">
      <c r="A40" s="5"/>
      <c r="B40" s="3"/>
      <c r="C40" s="3"/>
      <c r="D40" s="3"/>
      <c r="E40" s="6"/>
      <c r="F40" s="4"/>
      <c r="K40" s="35" t="str">
        <f>Master!$G$9</f>
        <v>Transfer Uji</v>
      </c>
      <c r="L40" s="37">
        <f>SUMIFS(MayTable[Jumlah (Rp)],MayTable[Tipe],"Pengeluaran",MayTable[Pembayaran],K40)</f>
        <v>0</v>
      </c>
      <c r="M40" s="48">
        <f t="shared" si="2"/>
        <v>0</v>
      </c>
      <c r="N40" s="33"/>
      <c r="O40" s="33"/>
      <c r="P40" s="33"/>
      <c r="Q40" s="33"/>
      <c r="R40" s="33"/>
      <c r="S40" s="33"/>
      <c r="T40" s="33"/>
      <c r="U40" s="33"/>
      <c r="V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</row>
    <row r="41" spans="1:41" ht="24.75" customHeight="1" x14ac:dyDescent="0.25">
      <c r="A41" s="5"/>
      <c r="B41" s="3"/>
      <c r="C41" s="3"/>
      <c r="D41" s="3"/>
      <c r="E41" s="6"/>
      <c r="F41" s="4"/>
      <c r="K41" s="35" t="str">
        <f>Master!$G$10</f>
        <v>Voucher Uji</v>
      </c>
      <c r="L41" s="37">
        <f>SUMIFS(MayTable[Jumlah (Rp)],MayTable[Tipe],"Pengeluaran",MayTable[Pembayaran],K41)</f>
        <v>0</v>
      </c>
      <c r="M41" s="48">
        <f t="shared" si="2"/>
        <v>0</v>
      </c>
      <c r="N41" s="33"/>
      <c r="O41" s="33"/>
      <c r="P41" s="33"/>
      <c r="Q41" s="33"/>
      <c r="R41" s="33"/>
      <c r="S41" s="33"/>
      <c r="T41" s="33"/>
      <c r="U41" s="33"/>
      <c r="V41" s="33"/>
    </row>
    <row r="42" spans="1:41" ht="24.75" customHeight="1" x14ac:dyDescent="0.25">
      <c r="A42" s="5"/>
      <c r="B42" s="3"/>
      <c r="C42" s="3"/>
      <c r="D42" s="3"/>
      <c r="E42" s="6"/>
      <c r="F42" s="4"/>
      <c r="K42" s="35" t="str">
        <f>Master!$G$11</f>
        <v>Cicilan Uji</v>
      </c>
      <c r="L42" s="37">
        <f>SUMIFS(MayTable[Jumlah (Rp)],MayTable[Tipe],"Pengeluaran",MayTable[Pembayaran],K42)</f>
        <v>0</v>
      </c>
      <c r="M42" s="48">
        <f t="shared" si="2"/>
        <v>0</v>
      </c>
      <c r="N42" s="33"/>
      <c r="O42" s="33"/>
      <c r="P42" s="33"/>
      <c r="Q42" s="33"/>
      <c r="R42" s="33"/>
      <c r="S42" s="33"/>
      <c r="T42" s="33"/>
      <c r="U42" s="33"/>
      <c r="V42" s="33"/>
    </row>
    <row r="43" spans="1:41" ht="24.75" customHeight="1" x14ac:dyDescent="0.25">
      <c r="A43" s="5"/>
      <c r="B43" s="3"/>
      <c r="C43" s="3"/>
      <c r="D43" s="3"/>
      <c r="E43" s="6"/>
      <c r="F43" s="4"/>
      <c r="K43" s="35" t="str">
        <f>Master!$G$12</f>
        <v>Lainnya Uji</v>
      </c>
      <c r="L43" s="37">
        <f>SUMIFS(MayTable[Jumlah (Rp)],MayTable[Tipe],"Pengeluaran",MayTable[Pembayaran],K43)</f>
        <v>0</v>
      </c>
      <c r="M43" s="48">
        <f t="shared" si="2"/>
        <v>0</v>
      </c>
      <c r="N43" s="33"/>
      <c r="O43" s="33"/>
      <c r="P43" s="33"/>
      <c r="Q43" s="33"/>
      <c r="R43" s="33"/>
      <c r="S43" s="33"/>
      <c r="T43" s="33"/>
      <c r="U43" s="33"/>
      <c r="V43" s="33"/>
    </row>
    <row r="44" spans="1:41" ht="24.75" customHeight="1" x14ac:dyDescent="0.25">
      <c r="A44" s="5"/>
      <c r="B44" s="3"/>
      <c r="C44" s="3"/>
      <c r="D44" s="3"/>
      <c r="E44" s="6"/>
      <c r="F44" s="4"/>
      <c r="K44" s="40" t="s">
        <v>21</v>
      </c>
      <c r="L44" s="42">
        <f>SUM(L36:L43)</f>
        <v>0</v>
      </c>
      <c r="M44" s="44">
        <f t="shared" si="2"/>
        <v>0</v>
      </c>
      <c r="N44" s="33"/>
      <c r="O44" s="33"/>
      <c r="P44" s="33"/>
      <c r="Q44" s="33"/>
      <c r="R44" s="33"/>
      <c r="S44" s="33"/>
      <c r="T44" s="33"/>
      <c r="U44" s="33"/>
      <c r="V44" s="33"/>
    </row>
    <row r="45" spans="1:41" ht="24.75" customHeight="1" x14ac:dyDescent="0.25">
      <c r="A45" s="5"/>
      <c r="B45" s="3"/>
      <c r="C45" s="3"/>
      <c r="D45" s="3"/>
      <c r="E45" s="6"/>
      <c r="F45" s="4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</row>
    <row r="46" spans="1:41" ht="24.75" customHeight="1" x14ac:dyDescent="0.25">
      <c r="A46" s="5"/>
      <c r="B46" s="3"/>
      <c r="C46" s="3"/>
      <c r="D46" s="3"/>
      <c r="E46" s="6"/>
      <c r="F46" s="4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</row>
    <row r="47" spans="1:41" ht="24.75" customHeight="1" x14ac:dyDescent="0.25">
      <c r="A47" s="5"/>
      <c r="B47" s="3"/>
      <c r="C47" s="3"/>
      <c r="D47" s="3"/>
      <c r="E47" s="6"/>
      <c r="F47" s="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</row>
    <row r="48" spans="1:41" ht="24.75" customHeight="1" x14ac:dyDescent="0.25">
      <c r="A48" s="5"/>
      <c r="B48" s="3"/>
      <c r="C48" s="3"/>
      <c r="D48" s="3"/>
      <c r="E48" s="6"/>
      <c r="F48" s="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</row>
    <row r="49" spans="1:22" ht="24.75" customHeight="1" x14ac:dyDescent="0.25">
      <c r="A49" s="5"/>
      <c r="B49" s="3"/>
      <c r="C49" s="3"/>
      <c r="D49" s="3"/>
      <c r="E49" s="6"/>
      <c r="F49" s="4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ht="24.75" customHeight="1" x14ac:dyDescent="0.25">
      <c r="A50" s="5"/>
      <c r="B50" s="3"/>
      <c r="C50" s="3"/>
      <c r="D50" s="3"/>
      <c r="E50" s="6"/>
      <c r="F50" s="4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</row>
    <row r="51" spans="1:22" ht="24.75" customHeight="1" x14ac:dyDescent="0.25">
      <c r="A51" s="5"/>
      <c r="B51" s="3"/>
      <c r="C51" s="3"/>
      <c r="D51" s="3"/>
      <c r="E51" s="6"/>
      <c r="F51" s="4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</row>
    <row r="52" spans="1:22" ht="24.75" customHeight="1" x14ac:dyDescent="0.25">
      <c r="A52" s="5"/>
      <c r="B52" s="3"/>
      <c r="C52" s="3"/>
      <c r="D52" s="3"/>
      <c r="E52" s="6"/>
      <c r="F52" s="4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</row>
    <row r="53" spans="1:22" ht="24.75" customHeight="1" x14ac:dyDescent="0.25">
      <c r="A53" s="5"/>
      <c r="B53" s="3"/>
      <c r="C53" s="3"/>
      <c r="D53" s="3"/>
      <c r="E53" s="6"/>
      <c r="F53" s="4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</row>
    <row r="54" spans="1:22" ht="24.75" customHeight="1" x14ac:dyDescent="0.25">
      <c r="A54" s="5"/>
      <c r="B54" s="3"/>
      <c r="C54" s="3"/>
      <c r="D54" s="3"/>
      <c r="E54" s="6"/>
      <c r="F54" s="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</row>
    <row r="55" spans="1:22" ht="24.75" customHeight="1" x14ac:dyDescent="0.25">
      <c r="A55" s="5"/>
      <c r="B55" s="3"/>
      <c r="C55" s="3"/>
      <c r="D55" s="3"/>
      <c r="E55" s="6"/>
      <c r="F55" s="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</row>
    <row r="56" spans="1:22" ht="24.75" customHeight="1" x14ac:dyDescent="0.25">
      <c r="A56" s="5"/>
      <c r="B56" s="3"/>
      <c r="C56" s="3"/>
      <c r="D56" s="3"/>
      <c r="E56" s="6"/>
      <c r="F56" s="4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</row>
    <row r="57" spans="1:22" ht="24.75" customHeight="1" x14ac:dyDescent="0.25">
      <c r="A57" s="5"/>
      <c r="B57" s="3"/>
      <c r="C57" s="3"/>
      <c r="D57" s="3"/>
      <c r="E57" s="6"/>
      <c r="F57" s="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</row>
    <row r="58" spans="1:22" ht="24.75" customHeight="1" x14ac:dyDescent="0.25">
      <c r="A58" s="5"/>
      <c r="B58" s="3"/>
      <c r="C58" s="3"/>
      <c r="D58" s="3"/>
      <c r="E58" s="6"/>
      <c r="F58" s="4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</row>
    <row r="59" spans="1:22" ht="24.75" customHeight="1" x14ac:dyDescent="0.25">
      <c r="A59" s="5"/>
      <c r="B59" s="3"/>
      <c r="C59" s="3"/>
      <c r="D59" s="3"/>
      <c r="E59" s="6"/>
      <c r="F59" s="4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</row>
    <row r="60" spans="1:22" ht="24.75" customHeight="1" x14ac:dyDescent="0.25">
      <c r="A60" s="5"/>
      <c r="B60" s="3"/>
      <c r="C60" s="3"/>
      <c r="D60" s="3"/>
      <c r="E60" s="6"/>
      <c r="F60" s="4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</row>
    <row r="61" spans="1:22" ht="24.75" customHeight="1" x14ac:dyDescent="0.25">
      <c r="A61" s="5"/>
      <c r="B61" s="3"/>
      <c r="C61" s="3"/>
      <c r="D61" s="3"/>
      <c r="E61" s="6"/>
      <c r="F61" s="4"/>
    </row>
    <row r="62" spans="1:22" ht="24.75" customHeight="1" x14ac:dyDescent="0.25">
      <c r="A62" s="5"/>
      <c r="B62" s="3"/>
      <c r="C62" s="3"/>
      <c r="D62" s="3"/>
      <c r="E62" s="6"/>
      <c r="F62" s="4"/>
    </row>
    <row r="63" spans="1:22" ht="24.75" customHeight="1" x14ac:dyDescent="0.25">
      <c r="A63" s="5"/>
      <c r="B63" s="3"/>
      <c r="C63" s="3"/>
      <c r="D63" s="3"/>
      <c r="E63" s="6"/>
      <c r="F63" s="4"/>
    </row>
    <row r="64" spans="1:22" ht="24.75" customHeight="1" x14ac:dyDescent="0.25">
      <c r="A64" s="5"/>
      <c r="B64" s="3"/>
      <c r="C64" s="3"/>
      <c r="D64" s="3"/>
      <c r="E64" s="6"/>
      <c r="F64" s="4"/>
    </row>
    <row r="65" spans="1:6" ht="24.75" customHeight="1" x14ac:dyDescent="0.25">
      <c r="A65" s="5"/>
      <c r="B65" s="3"/>
      <c r="C65" s="3"/>
      <c r="D65" s="3"/>
      <c r="E65" s="6"/>
      <c r="F65" s="4"/>
    </row>
    <row r="66" spans="1:6" ht="24.75" customHeight="1" x14ac:dyDescent="0.25">
      <c r="A66" s="5"/>
      <c r="B66" s="3"/>
      <c r="C66" s="3"/>
      <c r="D66" s="3"/>
      <c r="E66" s="6"/>
      <c r="F66" s="4"/>
    </row>
    <row r="67" spans="1:6" ht="24.75" customHeight="1" x14ac:dyDescent="0.25">
      <c r="A67" s="5"/>
      <c r="B67" s="3"/>
      <c r="C67" s="3"/>
      <c r="D67" s="3"/>
      <c r="E67" s="6"/>
      <c r="F67" s="4"/>
    </row>
    <row r="68" spans="1:6" ht="24.75" customHeight="1" x14ac:dyDescent="0.25">
      <c r="A68" s="5"/>
      <c r="B68" s="3"/>
      <c r="C68" s="3"/>
      <c r="D68" s="3"/>
      <c r="E68" s="6"/>
      <c r="F68" s="4"/>
    </row>
    <row r="69" spans="1:6" ht="24.75" customHeight="1" x14ac:dyDescent="0.25">
      <c r="A69" s="5"/>
      <c r="B69" s="3"/>
      <c r="C69" s="3"/>
      <c r="D69" s="3"/>
      <c r="E69" s="6"/>
      <c r="F69" s="4"/>
    </row>
    <row r="70" spans="1:6" ht="24.75" customHeight="1" x14ac:dyDescent="0.25">
      <c r="A70" s="5"/>
      <c r="B70" s="3"/>
      <c r="C70" s="3"/>
      <c r="D70" s="3"/>
      <c r="E70" s="6"/>
      <c r="F70" s="4"/>
    </row>
    <row r="71" spans="1:6" ht="24.75" customHeight="1" x14ac:dyDescent="0.25">
      <c r="A71" s="5"/>
      <c r="B71" s="3"/>
      <c r="C71" s="3"/>
      <c r="D71" s="3"/>
      <c r="E71" s="6"/>
      <c r="F71" s="4"/>
    </row>
    <row r="72" spans="1:6" ht="24.75" customHeight="1" x14ac:dyDescent="0.25">
      <c r="A72" s="5"/>
      <c r="B72" s="3"/>
      <c r="C72" s="3"/>
      <c r="D72" s="3"/>
      <c r="E72" s="6"/>
      <c r="F72" s="4"/>
    </row>
    <row r="73" spans="1:6" ht="24.75" customHeight="1" x14ac:dyDescent="0.25">
      <c r="A73" s="5"/>
      <c r="B73" s="3"/>
      <c r="C73" s="3"/>
      <c r="D73" s="3"/>
      <c r="E73" s="6"/>
      <c r="F73" s="4"/>
    </row>
    <row r="74" spans="1:6" ht="24.75" customHeight="1" x14ac:dyDescent="0.25">
      <c r="A74" s="5"/>
      <c r="B74" s="3"/>
      <c r="C74" s="3"/>
      <c r="D74" s="3"/>
      <c r="E74" s="6"/>
      <c r="F74" s="4"/>
    </row>
    <row r="75" spans="1:6" ht="24.75" customHeight="1" x14ac:dyDescent="0.25">
      <c r="A75" s="5"/>
      <c r="B75" s="3"/>
      <c r="C75" s="3"/>
      <c r="D75" s="3"/>
      <c r="E75" s="6"/>
      <c r="F75" s="4"/>
    </row>
    <row r="76" spans="1:6" ht="24.75" customHeight="1" x14ac:dyDescent="0.25">
      <c r="A76" s="5"/>
      <c r="B76" s="3"/>
      <c r="C76" s="3"/>
      <c r="D76" s="3"/>
      <c r="E76" s="6"/>
      <c r="F76" s="4"/>
    </row>
    <row r="77" spans="1:6" ht="24.75" customHeight="1" x14ac:dyDescent="0.25">
      <c r="A77" s="5"/>
      <c r="B77" s="3"/>
      <c r="C77" s="3"/>
      <c r="D77" s="3"/>
      <c r="E77" s="6"/>
      <c r="F77" s="4"/>
    </row>
    <row r="78" spans="1:6" ht="24.75" customHeight="1" x14ac:dyDescent="0.25">
      <c r="A78" s="5"/>
      <c r="B78" s="3"/>
      <c r="C78" s="3"/>
      <c r="D78" s="3"/>
      <c r="E78" s="6"/>
      <c r="F78" s="4"/>
    </row>
    <row r="79" spans="1:6" ht="24.75" customHeight="1" x14ac:dyDescent="0.25">
      <c r="A79" s="5"/>
      <c r="B79" s="3"/>
      <c r="C79" s="3"/>
      <c r="D79" s="3"/>
      <c r="E79" s="6"/>
      <c r="F79" s="4"/>
    </row>
    <row r="80" spans="1:6" ht="24.75" customHeight="1" x14ac:dyDescent="0.25">
      <c r="A80" s="5"/>
      <c r="B80" s="3"/>
      <c r="C80" s="3"/>
      <c r="D80" s="3"/>
      <c r="E80" s="6"/>
      <c r="F80" s="4"/>
    </row>
    <row r="81" spans="1:6" ht="24.75" customHeight="1" x14ac:dyDescent="0.25">
      <c r="A81" s="5"/>
      <c r="B81" s="3"/>
      <c r="C81" s="3"/>
      <c r="D81" s="3"/>
      <c r="E81" s="6"/>
      <c r="F81" s="4"/>
    </row>
    <row r="82" spans="1:6" ht="24.75" customHeight="1" x14ac:dyDescent="0.25">
      <c r="A82" s="5"/>
      <c r="B82" s="3"/>
      <c r="C82" s="3"/>
      <c r="D82" s="3"/>
      <c r="E82" s="6"/>
      <c r="F82" s="4"/>
    </row>
    <row r="83" spans="1:6" ht="24.75" customHeight="1" x14ac:dyDescent="0.25">
      <c r="A83" s="5"/>
      <c r="B83" s="3"/>
      <c r="C83" s="3"/>
      <c r="D83" s="3"/>
      <c r="E83" s="6"/>
      <c r="F83" s="4"/>
    </row>
    <row r="84" spans="1:6" ht="24.75" customHeight="1" x14ac:dyDescent="0.25">
      <c r="A84" s="5"/>
      <c r="B84" s="3"/>
      <c r="C84" s="3"/>
      <c r="D84" s="3"/>
      <c r="E84" s="6"/>
      <c r="F84" s="4"/>
    </row>
    <row r="85" spans="1:6" ht="24.75" customHeight="1" x14ac:dyDescent="0.25">
      <c r="A85" s="5"/>
      <c r="B85" s="13"/>
      <c r="C85" s="3"/>
      <c r="D85" s="3"/>
      <c r="E85" s="6"/>
      <c r="F85" s="4"/>
    </row>
    <row r="86" spans="1:6" ht="24.75" customHeight="1" x14ac:dyDescent="0.25">
      <c r="A86" s="5"/>
      <c r="B86" s="3"/>
      <c r="C86" s="3"/>
      <c r="D86" s="3"/>
      <c r="E86" s="6"/>
      <c r="F86" s="4"/>
    </row>
    <row r="87" spans="1:6" ht="24.75" customHeight="1" x14ac:dyDescent="0.25">
      <c r="A87" s="5"/>
      <c r="B87" s="3"/>
      <c r="C87" s="3"/>
      <c r="D87" s="3"/>
      <c r="E87" s="6"/>
      <c r="F87" s="4"/>
    </row>
    <row r="88" spans="1:6" ht="24.75" customHeight="1" x14ac:dyDescent="0.25">
      <c r="A88" s="5"/>
      <c r="B88" s="3"/>
      <c r="C88" s="3"/>
      <c r="D88" s="3"/>
      <c r="E88" s="6"/>
      <c r="F88" s="12"/>
    </row>
    <row r="89" spans="1:6" ht="24.75" customHeight="1" x14ac:dyDescent="0.25">
      <c r="A89" s="5"/>
      <c r="B89" s="3"/>
      <c r="C89" s="3"/>
      <c r="D89" s="3"/>
      <c r="E89" s="6"/>
      <c r="F89" s="4"/>
    </row>
    <row r="90" spans="1:6" ht="24.75" customHeight="1" x14ac:dyDescent="0.25">
      <c r="A90" s="5"/>
      <c r="B90" s="3"/>
      <c r="C90" s="3"/>
      <c r="D90" s="3"/>
      <c r="E90" s="6"/>
      <c r="F90" s="4"/>
    </row>
    <row r="91" spans="1:6" ht="24.75" customHeight="1" x14ac:dyDescent="0.25">
      <c r="A91" s="5"/>
      <c r="B91" s="3"/>
      <c r="C91" s="3"/>
      <c r="D91" s="3"/>
      <c r="E91" s="6"/>
      <c r="F91" s="4"/>
    </row>
    <row r="92" spans="1:6" ht="24.75" customHeight="1" x14ac:dyDescent="0.25">
      <c r="A92" s="5"/>
      <c r="B92" s="3"/>
      <c r="C92" s="3"/>
      <c r="D92" s="3"/>
      <c r="E92" s="6"/>
      <c r="F92" s="4"/>
    </row>
    <row r="93" spans="1:6" ht="24.75" customHeight="1" x14ac:dyDescent="0.25">
      <c r="A93" s="5"/>
      <c r="B93" s="3"/>
      <c r="C93" s="3"/>
      <c r="D93" s="3"/>
      <c r="E93" s="6"/>
      <c r="F93" s="4"/>
    </row>
    <row r="94" spans="1:6" ht="24.75" customHeight="1" x14ac:dyDescent="0.25">
      <c r="A94" s="5"/>
      <c r="B94" s="3"/>
      <c r="C94" s="3"/>
      <c r="D94" s="3"/>
      <c r="E94" s="6"/>
      <c r="F94" s="4"/>
    </row>
    <row r="95" spans="1:6" ht="24.75" customHeight="1" x14ac:dyDescent="0.25">
      <c r="A95" s="5"/>
      <c r="B95" s="3"/>
      <c r="C95" s="3"/>
      <c r="D95" s="3"/>
      <c r="E95" s="6"/>
      <c r="F95" s="4"/>
    </row>
    <row r="96" spans="1:6" ht="24.75" customHeight="1" x14ac:dyDescent="0.25">
      <c r="A96" s="5"/>
      <c r="B96" s="3"/>
      <c r="C96" s="3"/>
      <c r="D96" s="3"/>
      <c r="E96" s="6"/>
      <c r="F96" s="4"/>
    </row>
    <row r="97" spans="1:6" ht="24.75" customHeight="1" x14ac:dyDescent="0.25">
      <c r="A97" s="5"/>
      <c r="B97" s="3"/>
      <c r="C97" s="3"/>
      <c r="D97" s="3"/>
      <c r="E97" s="6"/>
      <c r="F97" s="4"/>
    </row>
    <row r="98" spans="1:6" ht="24.75" customHeight="1" x14ac:dyDescent="0.25">
      <c r="A98" s="5"/>
      <c r="B98" s="3"/>
      <c r="C98" s="3"/>
      <c r="D98" s="3"/>
      <c r="E98" s="6"/>
      <c r="F98" s="4"/>
    </row>
    <row r="99" spans="1:6" ht="24.75" customHeight="1" x14ac:dyDescent="0.25">
      <c r="A99" s="5"/>
      <c r="B99" s="3"/>
      <c r="C99" s="3"/>
      <c r="D99" s="3"/>
      <c r="E99" s="6"/>
      <c r="F99" s="4"/>
    </row>
    <row r="100" spans="1:6" ht="24.75" customHeight="1" x14ac:dyDescent="0.25">
      <c r="A100" s="5"/>
      <c r="B100" s="3"/>
      <c r="C100" s="3"/>
      <c r="D100" s="3"/>
      <c r="E100" s="6"/>
      <c r="F100" s="4"/>
    </row>
    <row r="101" spans="1:6" ht="24.75" customHeight="1" x14ac:dyDescent="0.25">
      <c r="A101" s="5"/>
      <c r="B101" s="3"/>
      <c r="C101" s="3"/>
      <c r="D101" s="3"/>
      <c r="E101" s="6"/>
      <c r="F101" s="4"/>
    </row>
    <row r="102" spans="1:6" ht="24.75" customHeight="1" x14ac:dyDescent="0.25">
      <c r="A102" s="5"/>
      <c r="B102" s="3"/>
      <c r="C102" s="3"/>
      <c r="D102" s="3"/>
      <c r="E102" s="6"/>
      <c r="F102" s="4"/>
    </row>
    <row r="103" spans="1:6" ht="24.75" customHeight="1" x14ac:dyDescent="0.25">
      <c r="A103" s="5"/>
      <c r="B103" s="3"/>
      <c r="C103" s="3"/>
      <c r="D103" s="3"/>
      <c r="E103" s="6"/>
      <c r="F103" s="4"/>
    </row>
    <row r="104" spans="1:6" ht="24.75" customHeight="1" x14ac:dyDescent="0.25">
      <c r="A104" s="5"/>
      <c r="B104" s="3"/>
      <c r="C104" s="3"/>
      <c r="D104" s="3"/>
      <c r="E104" s="6"/>
      <c r="F104" s="4"/>
    </row>
    <row r="105" spans="1:6" ht="24.75" customHeight="1" x14ac:dyDescent="0.25">
      <c r="A105" s="5"/>
      <c r="B105" s="3"/>
      <c r="C105" s="3"/>
      <c r="D105" s="3"/>
      <c r="E105" s="6"/>
      <c r="F105" s="4"/>
    </row>
    <row r="106" spans="1:6" ht="24.75" customHeight="1" x14ac:dyDescent="0.25">
      <c r="A106" s="5"/>
      <c r="B106" s="3"/>
      <c r="C106" s="3"/>
      <c r="D106" s="3"/>
      <c r="E106" s="6"/>
      <c r="F106" s="4"/>
    </row>
    <row r="107" spans="1:6" ht="24.75" customHeight="1" x14ac:dyDescent="0.25">
      <c r="A107" s="5"/>
      <c r="B107" s="3"/>
      <c r="C107" s="3"/>
      <c r="D107" s="3"/>
      <c r="E107" s="6"/>
      <c r="F107" s="4"/>
    </row>
    <row r="108" spans="1:6" ht="24.75" customHeight="1" x14ac:dyDescent="0.25">
      <c r="A108" s="5"/>
      <c r="B108" s="3"/>
      <c r="C108" s="3"/>
      <c r="D108" s="3"/>
      <c r="E108" s="6"/>
      <c r="F108" s="4"/>
    </row>
  </sheetData>
  <mergeCells count="21">
    <mergeCell ref="K16:L16"/>
    <mergeCell ref="K30:L30"/>
    <mergeCell ref="K18:L18"/>
    <mergeCell ref="K25:L25"/>
    <mergeCell ref="K24:L24"/>
    <mergeCell ref="K32:L32"/>
    <mergeCell ref="K31:L31"/>
    <mergeCell ref="K27:L27"/>
    <mergeCell ref="R8:T8"/>
    <mergeCell ref="H13:I13"/>
    <mergeCell ref="K14:L14"/>
    <mergeCell ref="K17:L17"/>
    <mergeCell ref="K10:L10"/>
    <mergeCell ref="K28:L28"/>
    <mergeCell ref="K19:L19"/>
    <mergeCell ref="K15:L15"/>
    <mergeCell ref="K9:L9"/>
    <mergeCell ref="K26:L26"/>
    <mergeCell ref="K29:L29"/>
    <mergeCell ref="K11:L11"/>
    <mergeCell ref="K20:L20"/>
  </mergeCells>
  <conditionalFormatting sqref="M19">
    <cfRule type="cellIs" dxfId="120" priority="9" operator="lessThan">
      <formula>0</formula>
    </cfRule>
    <cfRule type="cellIs" dxfId="119" priority="10" operator="greaterThanOrEqual">
      <formula>0</formula>
    </cfRule>
  </conditionalFormatting>
  <conditionalFormatting sqref="M32">
    <cfRule type="cellIs" dxfId="118" priority="11" operator="equal">
      <formula>"di atas kebiasaan"</formula>
    </cfRule>
    <cfRule type="cellIs" dxfId="117" priority="12" operator="equal">
      <formula>"di bawah kebiasaan"</formula>
    </cfRule>
  </conditionalFormatting>
  <conditionalFormatting sqref="U12:U15">
    <cfRule type="cellIs" dxfId="116" priority="13" operator="greaterThan">
      <formula>0</formula>
    </cfRule>
    <cfRule type="cellIs" dxfId="115" priority="14" operator="lessThan">
      <formula>0</formula>
    </cfRule>
  </conditionalFormatting>
  <conditionalFormatting sqref="U19:U23">
    <cfRule type="cellIs" dxfId="114" priority="15" operator="greaterThan">
      <formula>0</formula>
    </cfRule>
    <cfRule type="cellIs" dxfId="113" priority="16" operator="lessThan">
      <formula>0</formula>
    </cfRule>
  </conditionalFormatting>
  <conditionalFormatting sqref="B6:B505">
    <cfRule type="expression" dxfId="112" priority="17" stopIfTrue="1">
      <formula>TRIM($B6)="Pengeluaran"</formula>
    </cfRule>
    <cfRule type="expression" dxfId="111" priority="18" stopIfTrue="1">
      <formula>TRIM($B6)="Pemasukan"</formula>
    </cfRule>
  </conditionalFormatting>
  <dataValidations count="3">
    <dataValidation type="list" errorStyle="warning" allowBlank="1" errorTitle="Di luar daftar" error="Nilai ini tidak ada di sheet Master. Tetap pakai?" sqref="B6:B505" xr:uid="{00000000-0002-0000-0500-000000000000}">
      <formula1>ListTipe</formula1>
    </dataValidation>
    <dataValidation type="list" errorStyle="warning" allowBlank="1" errorTitle="Di luar daftar" error="Nilai ini tidak ada di sheet Master. Tetap pakai?" sqref="C6:C505" xr:uid="{00000000-0002-0000-0500-000001000000}">
      <formula1>ListPembayaran</formula1>
    </dataValidation>
    <dataValidation type="list" errorStyle="warning" allowBlank="1" errorTitle="Di luar daftar" error="Nilai ini tidak ada di sheet Master. Tetap pakai?" sqref="D6:D505" xr:uid="{00000000-0002-0000-0500-000002000000}">
      <formula1>ListKategori</formula1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5" name="Button 1">
              <controlPr defaultSize="0" print="0" autoFill="0" autoPict="0" macro="TambahBarisBaru_ActiveSheet">
                <anchor moveWithCells="1" sizeWithCells="1">
                  <from>
                    <xdr:col>4</xdr:col>
                    <xdr:colOff>1457325</xdr:colOff>
                    <xdr:row>1</xdr:row>
                    <xdr:rowOff>285750</xdr:rowOff>
                  </from>
                  <to>
                    <xdr:col>5</xdr:col>
                    <xdr:colOff>3038475</xdr:colOff>
                    <xdr:row>3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O124"/>
  <sheetViews>
    <sheetView topLeftCell="A13" workbookViewId="0">
      <selection activeCell="F11" sqref="F11"/>
    </sheetView>
  </sheetViews>
  <sheetFormatPr defaultRowHeight="24.75" customHeight="1" x14ac:dyDescent="0.25"/>
  <cols>
    <col min="1" max="1" width="15" customWidth="1"/>
    <col min="2" max="2" width="14" customWidth="1"/>
    <col min="3" max="3" width="20.85546875" customWidth="1"/>
    <col min="4" max="5" width="22.140625" customWidth="1"/>
    <col min="6" max="6" width="46" customWidth="1"/>
    <col min="7" max="7" width="2" customWidth="1"/>
    <col min="8" max="8" width="16.7109375" customWidth="1"/>
    <col min="9" max="9" width="16.42578125" customWidth="1"/>
    <col min="11" max="11" width="26" customWidth="1"/>
    <col min="12" max="12" width="9" customWidth="1"/>
    <col min="13" max="15" width="16" customWidth="1"/>
    <col min="16" max="16" width="19" customWidth="1"/>
    <col min="17" max="17" width="2" customWidth="1"/>
    <col min="18" max="18" width="22" customWidth="1"/>
    <col min="19" max="21" width="15" customWidth="1"/>
    <col min="22" max="22" width="34" customWidth="1"/>
    <col min="30" max="41" width="13" hidden="1" customWidth="1"/>
  </cols>
  <sheetData>
    <row r="1" spans="1:41" ht="24.75" customHeight="1" x14ac:dyDescent="0.25">
      <c r="A1" s="15" t="s">
        <v>45</v>
      </c>
      <c r="B1" s="16"/>
      <c r="C1" s="17" t="s">
        <v>46</v>
      </c>
      <c r="D1" s="16"/>
      <c r="K1" s="32" t="s">
        <v>47</v>
      </c>
      <c r="L1" s="33"/>
      <c r="M1" s="33"/>
      <c r="N1" s="33"/>
      <c r="O1" s="33"/>
      <c r="P1" s="33"/>
      <c r="Q1" s="33"/>
      <c r="R1" s="32" t="s">
        <v>48</v>
      </c>
      <c r="S1" s="33"/>
      <c r="T1" s="33"/>
      <c r="U1" s="33"/>
      <c r="V1" s="33"/>
      <c r="AD1" s="33">
        <f>DATE(2026,6,1)</f>
        <v>46174</v>
      </c>
      <c r="AE1" s="33"/>
      <c r="AF1" s="33" t="s">
        <v>49</v>
      </c>
      <c r="AG1" s="33"/>
      <c r="AH1" s="33" t="s">
        <v>50</v>
      </c>
      <c r="AI1" s="33" t="s">
        <v>51</v>
      </c>
      <c r="AJ1" s="33" t="str">
        <f>Master!$A$5</f>
        <v>Kategori Uji 01</v>
      </c>
      <c r="AK1" s="33">
        <f>SUMIFS(JuneTable[Jumlah (Rp)],JuneTable[Tipe],"Pengeluaran",JuneTable[Kategori],AJ1)</f>
        <v>0</v>
      </c>
      <c r="AL1" s="33">
        <f>SUMIFS(MayTable[Jumlah (Rp)],MayTable[Tipe],"Pengeluaran",MayTable[Kategori],AJ1)</f>
        <v>0</v>
      </c>
      <c r="AM1" s="33">
        <f t="shared" ref="AM1:AM23" si="0">AK1+ROW()/1000000</f>
        <v>9.9999999999999995E-7</v>
      </c>
      <c r="AN1" s="33">
        <f>MAX($AM$1:$AM$23)</f>
        <v>2.3E-5</v>
      </c>
      <c r="AO1" s="33">
        <f>IFERROR(MATCH(AN1,$AM$1:$AM$23,0),0)</f>
        <v>23</v>
      </c>
    </row>
    <row r="2" spans="1:41" ht="24.75" customHeight="1" x14ac:dyDescent="0.25">
      <c r="A2" s="15" t="s">
        <v>5</v>
      </c>
      <c r="B2" s="7" t="str">
        <f>IF(B1=0,"",B1-D4)</f>
        <v/>
      </c>
      <c r="C2" s="17" t="s">
        <v>52</v>
      </c>
      <c r="D2" s="2">
        <f>SUMIFS(JuneTable[Jumlah (Rp)],JuneTable[Tipe],"Pemasukan")</f>
        <v>0</v>
      </c>
      <c r="E2" s="8">
        <f>IFERROR(D2/(D2+D3),0)</f>
        <v>0</v>
      </c>
      <c r="K2" s="34" t="s">
        <v>53</v>
      </c>
      <c r="L2" s="34" t="s">
        <v>54</v>
      </c>
      <c r="M2" s="34" t="s">
        <v>55</v>
      </c>
      <c r="N2" s="34" t="s">
        <v>56</v>
      </c>
      <c r="O2" s="34" t="s">
        <v>57</v>
      </c>
      <c r="P2" s="34" t="s">
        <v>58</v>
      </c>
      <c r="Q2" s="33"/>
      <c r="R2" s="34" t="s">
        <v>59</v>
      </c>
      <c r="S2" s="34" t="s">
        <v>49</v>
      </c>
      <c r="T2" s="34" t="s">
        <v>25</v>
      </c>
      <c r="U2" s="34" t="s">
        <v>60</v>
      </c>
      <c r="V2" s="34" t="s">
        <v>61</v>
      </c>
      <c r="AD2" s="33">
        <f>EOMONTH(AD1,0)</f>
        <v>46203</v>
      </c>
      <c r="AE2" s="33"/>
      <c r="AF2" s="33">
        <v>1</v>
      </c>
      <c r="AG2" s="33">
        <f t="shared" ref="AG2:AG32" si="1">DATE(2026,6,AF2)</f>
        <v>46174</v>
      </c>
      <c r="AH2" s="33">
        <f ca="1">IF(OR(AF2&gt;$AD$4,AF2&gt;$AD$3),NA(),SUMIFS(JuneTable[Jumlah (Rp)],JuneTable[Tipe],"Pengeluaran",JuneTable[Tanggal],"&lt;="&amp;AG2))</f>
        <v>0</v>
      </c>
      <c r="AI2" s="33">
        <f>IF(AF2&gt;$AD$4,NA(),Rekap!$B$19/$AD$4*AF2)</f>
        <v>7908.333333333333</v>
      </c>
      <c r="AJ2" s="33" t="str">
        <f>Master!$A$6</f>
        <v>Kategori Uji 02</v>
      </c>
      <c r="AK2" s="33">
        <f>SUMIFS(JuneTable[Jumlah (Rp)],JuneTable[Tipe],"Pengeluaran",JuneTable[Kategori],AJ2)</f>
        <v>0</v>
      </c>
      <c r="AL2" s="33">
        <f>SUMIFS(MayTable[Jumlah (Rp)],MayTable[Tipe],"Pengeluaran",MayTable[Kategori],AJ2)</f>
        <v>0</v>
      </c>
      <c r="AM2" s="33">
        <f t="shared" si="0"/>
        <v>1.9999999999999999E-6</v>
      </c>
      <c r="AN2" s="33">
        <f>SUMPRODUCT(MAX(($AM$1:$AM$23&lt;AN1)*$AM$1:$AM$23))</f>
        <v>2.1999999999999999E-5</v>
      </c>
      <c r="AO2" s="33">
        <f>IFERROR(MATCH(AN2,$AM$1:$AM$23,0),0)</f>
        <v>22</v>
      </c>
    </row>
    <row r="3" spans="1:41" ht="24.75" customHeight="1" x14ac:dyDescent="0.25">
      <c r="A3" s="15" t="s">
        <v>6</v>
      </c>
      <c r="B3" s="18" t="str">
        <f>IF(D2=0,"",(D2-D3)/D2)</f>
        <v/>
      </c>
      <c r="C3" s="19" t="s">
        <v>62</v>
      </c>
      <c r="D3" s="2">
        <f>SUMIFS(JuneTable[Jumlah (Rp)],JuneTable[Tipe],"Pengeluaran")</f>
        <v>0</v>
      </c>
      <c r="E3" s="8">
        <f>IFERROR(D3/(D2+D3),0)</f>
        <v>0</v>
      </c>
      <c r="K3" s="35" t="str">
        <f>"Uang Makan (hari kerja "&amp;TEXT($AD$1-1,"mmmm")&amp;")"</f>
        <v>Uang Makan (hari kerja May)</v>
      </c>
      <c r="L3" s="36">
        <v>10</v>
      </c>
      <c r="M3" s="37">
        <f>$M$10*$M$11</f>
        <v>0</v>
      </c>
      <c r="N3" s="37">
        <f>SUMIFS(JuneTable[Jumlah (Rp)],JuneTable[Tipe],"Pemasukan",JuneTable[Kategori],"Uang Makan")</f>
        <v>0</v>
      </c>
      <c r="O3" s="37">
        <f ca="1">IF(OR(N3&gt;0,TODAY()&gt;$AD$2),0,N(M3))</f>
        <v>0</v>
      </c>
      <c r="P3" s="35" t="str">
        <f ca="1">IF(N3&gt;0,"sudah cair",IF(TODAY()&gt;$AD$2,"bulan sudah lewat",IF(N(M3)=0,"isi estimasi dulu","menunggu tgl 10")))</f>
        <v>bulan sudah lewat</v>
      </c>
      <c r="Q3" s="33"/>
      <c r="R3" s="36">
        <v>1</v>
      </c>
      <c r="S3" s="38">
        <f>IF($AE$6=0,"",INDEX(JuneTable[Tanggal],$AE$6))</f>
        <v>0</v>
      </c>
      <c r="T3" s="35">
        <f>IF($AE$6=0,"",INDEX(JuneTable[Kategori],$AE$6))</f>
        <v>0</v>
      </c>
      <c r="U3" s="37">
        <f>IF($AE$6=0,"",INDEX(JuneTable[Jumlah (Rp)],$AE$6))</f>
        <v>0</v>
      </c>
      <c r="V3" s="35">
        <f>IF($AE$6=0,"",INDEX(JuneTable[Keterangan],$AE$6))</f>
        <v>0</v>
      </c>
      <c r="AD3" s="33">
        <f ca="1">IF(TODAY()&gt;=AD2,DAY(AD2),IF(TODAY()&lt;AD1,0,DAY(TODAY())))</f>
        <v>30</v>
      </c>
      <c r="AE3" s="33"/>
      <c r="AF3" s="33">
        <v>2</v>
      </c>
      <c r="AG3" s="33">
        <f t="shared" si="1"/>
        <v>46175</v>
      </c>
      <c r="AH3" s="33">
        <f ca="1">IF(OR(AF3&gt;$AD$4,AF3&gt;$AD$3),NA(),SUMIFS(JuneTable[Jumlah (Rp)],JuneTable[Tipe],"Pengeluaran",JuneTable[Tanggal],"&lt;="&amp;AG3))</f>
        <v>0</v>
      </c>
      <c r="AI3" s="33">
        <f>IF(AF3&gt;$AD$4,NA(),Rekap!$B$19/$AD$4*AF3)</f>
        <v>15816.666666666666</v>
      </c>
      <c r="AJ3" s="33" t="str">
        <f>Master!$A$7</f>
        <v>Kategori Uji 03</v>
      </c>
      <c r="AK3" s="33">
        <f>SUMIFS(JuneTable[Jumlah (Rp)],JuneTable[Tipe],"Pengeluaran",JuneTable[Kategori],AJ3)</f>
        <v>0</v>
      </c>
      <c r="AL3" s="33">
        <f>SUMIFS(MayTable[Jumlah (Rp)],MayTable[Tipe],"Pengeluaran",MayTable[Kategori],AJ3)</f>
        <v>0</v>
      </c>
      <c r="AM3" s="33">
        <f t="shared" si="0"/>
        <v>3.0000000000000001E-6</v>
      </c>
      <c r="AN3" s="33">
        <f>SUMPRODUCT(MAX(($AM$1:$AM$23&lt;AN2)*$AM$1:$AM$23))</f>
        <v>2.0999999999999999E-5</v>
      </c>
      <c r="AO3" s="33">
        <f>IFERROR(MATCH(AN3,$AM$1:$AM$23,0),0)</f>
        <v>21</v>
      </c>
    </row>
    <row r="4" spans="1:41" ht="24.75" customHeight="1" x14ac:dyDescent="0.25">
      <c r="A4" s="15" t="s">
        <v>63</v>
      </c>
      <c r="B4">
        <f>COUNTA(JuneTable[Tanggal])</f>
        <v>0</v>
      </c>
      <c r="C4" s="17" t="s">
        <v>64</v>
      </c>
      <c r="D4" s="20">
        <f>D1+D2-D3</f>
        <v>0</v>
      </c>
      <c r="K4" s="35" t="s">
        <v>144</v>
      </c>
      <c r="L4" s="36">
        <v>10</v>
      </c>
      <c r="M4" s="39">
        <v>5000000</v>
      </c>
      <c r="N4" s="37">
        <f>SUMIFS(JuneTable[Jumlah (Rp)],JuneTable[Tipe],"Pemasukan",JuneTable[Kategori],"Gaji")</f>
        <v>0</v>
      </c>
      <c r="O4" s="37">
        <f ca="1">IF(OR(N4&gt;1000000,TODAY()&gt;$AD$2),0,N(M4))</f>
        <v>0</v>
      </c>
      <c r="P4" s="35" t="str">
        <f ca="1">IF(N4&gt;1000000,"sudah cair",IF(TODAY()&gt;$AD$2,"bulan sudah lewat",IF(N(M4)=0,"isi estimasi dulu","menunggu tgl 25")))</f>
        <v>bulan sudah lewat</v>
      </c>
      <c r="Q4" s="33"/>
      <c r="R4" s="36">
        <v>2</v>
      </c>
      <c r="S4" s="38">
        <f>IF($AE$7=0,"",INDEX(JuneTable[Tanggal],$AE$7))</f>
        <v>0</v>
      </c>
      <c r="T4" s="35">
        <f>IF($AE$7=0,"",INDEX(JuneTable[Kategori],$AE$7))</f>
        <v>0</v>
      </c>
      <c r="U4" s="37">
        <f>IF($AE$7=0,"",INDEX(JuneTable[Jumlah (Rp)],$AE$7))</f>
        <v>0</v>
      </c>
      <c r="V4" s="35">
        <f>IF($AE$7=0,"",INDEX(JuneTable[Keterangan],$AE$7))</f>
        <v>0</v>
      </c>
      <c r="AD4" s="33">
        <f>DAY(AD2)</f>
        <v>30</v>
      </c>
      <c r="AE4" s="33"/>
      <c r="AF4" s="33">
        <v>3</v>
      </c>
      <c r="AG4" s="33">
        <f t="shared" si="1"/>
        <v>46176</v>
      </c>
      <c r="AH4" s="33">
        <f ca="1">IF(OR(AF4&gt;$AD$4,AF4&gt;$AD$3),NA(),SUMIFS(JuneTable[Jumlah (Rp)],JuneTable[Tipe],"Pengeluaran",JuneTable[Tanggal],"&lt;="&amp;AG4))</f>
        <v>0</v>
      </c>
      <c r="AI4" s="33">
        <f>IF(AF4&gt;$AD$4,NA(),Rekap!$B$19/$AD$4*AF4)</f>
        <v>23725</v>
      </c>
      <c r="AJ4" s="33" t="str">
        <f>Master!$A$8</f>
        <v>Kategori Uji 04</v>
      </c>
      <c r="AK4" s="33">
        <f>SUMIFS(JuneTable[Jumlah (Rp)],JuneTable[Tipe],"Pengeluaran",JuneTable[Kategori],AJ4)</f>
        <v>0</v>
      </c>
      <c r="AL4" s="33">
        <f>SUMIFS(MayTable[Jumlah (Rp)],MayTable[Tipe],"Pengeluaran",MayTable[Kategori],AJ4)</f>
        <v>0</v>
      </c>
      <c r="AM4" s="33">
        <f t="shared" si="0"/>
        <v>3.9999999999999998E-6</v>
      </c>
      <c r="AN4" s="33">
        <f>SUMPRODUCT(MAX(($AM$1:$AM$23&lt;AN3)*$AM$1:$AM$23))</f>
        <v>2.0000000000000002E-5</v>
      </c>
      <c r="AO4" s="33">
        <f>IFERROR(MATCH(AN4,$AM$1:$AM$23,0),0)</f>
        <v>20</v>
      </c>
    </row>
    <row r="5" spans="1:41" ht="24.75" customHeight="1" x14ac:dyDescent="0.25">
      <c r="A5" s="1" t="s">
        <v>49</v>
      </c>
      <c r="B5" s="1" t="s">
        <v>65</v>
      </c>
      <c r="C5" s="3" t="s">
        <v>66</v>
      </c>
      <c r="D5" s="1" t="s">
        <v>25</v>
      </c>
      <c r="E5" s="1" t="s">
        <v>67</v>
      </c>
      <c r="F5" s="1" t="s">
        <v>61</v>
      </c>
      <c r="K5" s="35" t="s">
        <v>145</v>
      </c>
      <c r="L5" s="36">
        <v>20</v>
      </c>
      <c r="M5" s="39">
        <v>1000000</v>
      </c>
      <c r="N5" s="37">
        <f>SUMIFS(JuneTable[Jumlah (Rp)],JuneTable[Tipe],"Pemasukan",JuneTable[Kategori],"Freelance")</f>
        <v>0</v>
      </c>
      <c r="O5" s="37">
        <f ca="1">IF(OR(N5&gt;0,TODAY()&gt;$AD$2),0,N(M5))</f>
        <v>0</v>
      </c>
      <c r="P5" s="35" t="str">
        <f ca="1">IF(N5&gt;0,"sudah cair",IF(TODAY()&gt;$AD$2,"bulan sudah lewat",IF(N(M5)=0,"isi estimasi dulu","menunggu tgl 28")))</f>
        <v>bulan sudah lewat</v>
      </c>
      <c r="Q5" s="33"/>
      <c r="R5" s="36">
        <v>3</v>
      </c>
      <c r="S5" s="38">
        <f>IF($AE$8=0,"",INDEX(JuneTable[Tanggal],$AE$8))</f>
        <v>0</v>
      </c>
      <c r="T5" s="35">
        <f>IF($AE$8=0,"",INDEX(JuneTable[Kategori],$AE$8))</f>
        <v>0</v>
      </c>
      <c r="U5" s="37">
        <f>IF($AE$8=0,"",INDEX(JuneTable[Jumlah (Rp)],$AE$8))</f>
        <v>0</v>
      </c>
      <c r="V5" s="35">
        <f>IF($AE$8=0,"",INDEX(JuneTable[Keterangan],$AE$8))</f>
        <v>0</v>
      </c>
      <c r="AD5" s="33"/>
      <c r="AE5" s="33"/>
      <c r="AF5" s="33">
        <v>4</v>
      </c>
      <c r="AG5" s="33">
        <f t="shared" si="1"/>
        <v>46177</v>
      </c>
      <c r="AH5" s="33">
        <f ca="1">IF(OR(AF5&gt;$AD$4,AF5&gt;$AD$3),NA(),SUMIFS(JuneTable[Jumlah (Rp)],JuneTable[Tipe],"Pengeluaran",JuneTable[Tanggal],"&lt;="&amp;AG5))</f>
        <v>0</v>
      </c>
      <c r="AI5" s="33">
        <f>IF(AF5&gt;$AD$4,NA(),Rekap!$B$19/$AD$4*AF5)</f>
        <v>31633.333333333332</v>
      </c>
      <c r="AJ5" s="33" t="str">
        <f>Master!$A$9</f>
        <v>Kategori Uji 05</v>
      </c>
      <c r="AK5" s="33">
        <f>SUMIFS(JuneTable[Jumlah (Rp)],JuneTable[Tipe],"Pengeluaran",JuneTable[Kategori],AJ5)</f>
        <v>0</v>
      </c>
      <c r="AL5" s="33">
        <f>SUMIFS(MayTable[Jumlah (Rp)],MayTable[Tipe],"Pengeluaran",MayTable[Kategori],AJ5)</f>
        <v>0</v>
      </c>
      <c r="AM5" s="33">
        <f t="shared" si="0"/>
        <v>5.0000000000000004E-6</v>
      </c>
      <c r="AN5" s="33">
        <f>SUMPRODUCT(MAX(($AM$1:$AM$23&lt;AN4)*$AM$1:$AM$23))</f>
        <v>1.9000000000000001E-5</v>
      </c>
      <c r="AO5" s="33">
        <f>IFERROR(MATCH(AN5,$AM$1:$AM$23,0),0)</f>
        <v>19</v>
      </c>
    </row>
    <row r="6" spans="1:41" ht="24.75" customHeight="1" x14ac:dyDescent="0.25">
      <c r="A6" s="5"/>
      <c r="B6" s="3"/>
      <c r="C6" s="3"/>
      <c r="D6" s="3"/>
      <c r="E6" s="6"/>
      <c r="F6" s="4"/>
      <c r="K6" s="40" t="s">
        <v>21</v>
      </c>
      <c r="L6" s="41"/>
      <c r="M6" s="42">
        <f>SUM(M3:M5)</f>
        <v>6000000</v>
      </c>
      <c r="N6" s="42">
        <f>SUM(N3:N5)</f>
        <v>0</v>
      </c>
      <c r="O6" s="42">
        <f ca="1">SUM(O3:O5)</f>
        <v>0</v>
      </c>
      <c r="P6" s="41"/>
      <c r="Q6" s="33"/>
      <c r="R6" s="36">
        <v>4</v>
      </c>
      <c r="S6" s="38">
        <f>IF($AE$9=0,"",INDEX(JuneTable[Tanggal],$AE$9))</f>
        <v>0</v>
      </c>
      <c r="T6" s="35">
        <f>IF($AE$9=0,"",INDEX(JuneTable[Kategori],$AE$9))</f>
        <v>0</v>
      </c>
      <c r="U6" s="37">
        <f>IF($AE$9=0,"",INDEX(JuneTable[Jumlah (Rp)],$AE$9))</f>
        <v>0</v>
      </c>
      <c r="V6" s="35">
        <f>IF($AE$9=0,"",INDEX(JuneTable[Keterangan],$AE$9))</f>
        <v>0</v>
      </c>
      <c r="AD6" s="33">
        <f>SUMPRODUCT(MAX((JuneTable[Tipe]="Pengeluaran")*(JuneTable[Jumlah (Rp)]+ROW(JuneTable[Jumlah (Rp)])/1000000)))</f>
        <v>0</v>
      </c>
      <c r="AE6" s="33">
        <f>IFERROR(SUMPRODUCT(MATCH(AD6,(JuneTable[Tipe]="Pengeluaran")*(JuneTable[Jumlah (Rp)]+ROW(JuneTable[Jumlah (Rp)])/1000000),0)),0)</f>
        <v>1</v>
      </c>
      <c r="AF6" s="33">
        <v>5</v>
      </c>
      <c r="AG6" s="33">
        <f t="shared" si="1"/>
        <v>46178</v>
      </c>
      <c r="AH6" s="33">
        <f ca="1">IF(OR(AF6&gt;$AD$4,AF6&gt;$AD$3),NA(),SUMIFS(JuneTable[Jumlah (Rp)],JuneTable[Tipe],"Pengeluaran",JuneTable[Tanggal],"&lt;="&amp;AG6))</f>
        <v>0</v>
      </c>
      <c r="AI6" s="33">
        <f>IF(AF6&gt;$AD$4,NA(),Rekap!$B$19/$AD$4*AF6)</f>
        <v>39541.666666666664</v>
      </c>
      <c r="AJ6" s="33" t="str">
        <f>Master!$A$10</f>
        <v>Kategori Uji 06</v>
      </c>
      <c r="AK6" s="33">
        <f>SUMIFS(JuneTable[Jumlah (Rp)],JuneTable[Tipe],"Pengeluaran",JuneTable[Kategori],AJ6)</f>
        <v>0</v>
      </c>
      <c r="AL6" s="33">
        <f>SUMIFS(MayTable[Jumlah (Rp)],MayTable[Tipe],"Pengeluaran",MayTable[Kategori],AJ6)</f>
        <v>0</v>
      </c>
      <c r="AM6" s="33">
        <f t="shared" si="0"/>
        <v>6.0000000000000002E-6</v>
      </c>
      <c r="AN6" s="33"/>
      <c r="AO6" s="33"/>
    </row>
    <row r="7" spans="1:41" ht="24.75" customHeight="1" x14ac:dyDescent="0.25">
      <c r="A7" s="5"/>
      <c r="B7" s="3"/>
      <c r="C7" s="3"/>
      <c r="D7" s="3"/>
      <c r="E7" s="6"/>
      <c r="F7" s="4"/>
      <c r="K7" s="33"/>
      <c r="L7" s="33"/>
      <c r="M7" s="33"/>
      <c r="N7" s="33"/>
      <c r="O7" s="33"/>
      <c r="P7" s="33"/>
      <c r="Q7" s="33"/>
      <c r="R7" s="36">
        <v>5</v>
      </c>
      <c r="S7" s="38">
        <f>IF($AE$10=0,"",INDEX(JuneTable[Tanggal],$AE$10))</f>
        <v>0</v>
      </c>
      <c r="T7" s="35">
        <f>IF($AE$10=0,"",INDEX(JuneTable[Kategori],$AE$10))</f>
        <v>0</v>
      </c>
      <c r="U7" s="37">
        <f>IF($AE$10=0,"",INDEX(JuneTable[Jumlah (Rp)],$AE$10))</f>
        <v>0</v>
      </c>
      <c r="V7" s="35">
        <f>IF($AE$10=0,"",INDEX(JuneTable[Keterangan],$AE$10))</f>
        <v>0</v>
      </c>
      <c r="AD7" s="33">
        <f>SUMPRODUCT(MAX((JuneTable[Tipe]="Pengeluaran")*((JuneTable[Jumlah (Rp)]+ROW(JuneTable[Jumlah (Rp)])/1000000)&lt;AD6)*(JuneTable[Jumlah (Rp)]+ROW(JuneTable[Jumlah (Rp)])/1000000)))</f>
        <v>0</v>
      </c>
      <c r="AE7" s="33">
        <f>IFERROR(SUMPRODUCT(MATCH(AD7,(JuneTable[Tipe]="Pengeluaran")*(JuneTable[Jumlah (Rp)]+ROW(JuneTable[Jumlah (Rp)])/1000000),0)),0)</f>
        <v>1</v>
      </c>
      <c r="AF7" s="33">
        <v>6</v>
      </c>
      <c r="AG7" s="33">
        <f t="shared" si="1"/>
        <v>46179</v>
      </c>
      <c r="AH7" s="33">
        <f ca="1">IF(OR(AF7&gt;$AD$4,AF7&gt;$AD$3),NA(),SUMIFS(JuneTable[Jumlah (Rp)],JuneTable[Tipe],"Pengeluaran",JuneTable[Tanggal],"&lt;="&amp;AG7))</f>
        <v>0</v>
      </c>
      <c r="AI7" s="33">
        <f>IF(AF7&gt;$AD$4,NA(),Rekap!$B$19/$AD$4*AF7)</f>
        <v>47450</v>
      </c>
      <c r="AJ7" s="33" t="str">
        <f>Master!$A$11</f>
        <v>Kategori Uji 07</v>
      </c>
      <c r="AK7" s="33">
        <f>SUMIFS(JuneTable[Jumlah (Rp)],JuneTable[Tipe],"Pengeluaran",JuneTable[Kategori],AJ7)</f>
        <v>0</v>
      </c>
      <c r="AL7" s="33">
        <f>SUMIFS(MayTable[Jumlah (Rp)],MayTable[Tipe],"Pengeluaran",MayTable[Kategori],AJ7)</f>
        <v>0</v>
      </c>
      <c r="AM7" s="33">
        <f t="shared" si="0"/>
        <v>6.9999999999999999E-6</v>
      </c>
      <c r="AN7" s="33"/>
      <c r="AO7" s="33"/>
    </row>
    <row r="8" spans="1:41" ht="24.75" customHeight="1" x14ac:dyDescent="0.25">
      <c r="A8" s="5"/>
      <c r="B8" s="3"/>
      <c r="C8" s="3"/>
      <c r="D8" s="3"/>
      <c r="E8" s="6"/>
      <c r="F8" s="4"/>
      <c r="K8" s="43" t="s">
        <v>68</v>
      </c>
      <c r="L8" s="33"/>
      <c r="M8" s="33"/>
      <c r="N8" s="33"/>
      <c r="O8" s="33"/>
      <c r="P8" s="33"/>
      <c r="Q8" s="33"/>
      <c r="R8" s="52" t="s">
        <v>69</v>
      </c>
      <c r="S8" s="55"/>
      <c r="T8" s="55"/>
      <c r="U8" s="42">
        <f>SUM(U3:U7)</f>
        <v>0</v>
      </c>
      <c r="V8" s="44">
        <f>IFERROR(U8/$D$3,0)</f>
        <v>0</v>
      </c>
      <c r="AD8" s="33">
        <f>SUMPRODUCT(MAX((JuneTable[Tipe]="Pengeluaran")*((JuneTable[Jumlah (Rp)]+ROW(JuneTable[Jumlah (Rp)])/1000000)&lt;AD7)*(JuneTable[Jumlah (Rp)]+ROW(JuneTable[Jumlah (Rp)])/1000000)))</f>
        <v>0</v>
      </c>
      <c r="AE8" s="33">
        <f>IFERROR(SUMPRODUCT(MATCH(AD8,(JuneTable[Tipe]="Pengeluaran")*(JuneTable[Jumlah (Rp)]+ROW(JuneTable[Jumlah (Rp)])/1000000),0)),0)</f>
        <v>1</v>
      </c>
      <c r="AF8" s="33">
        <v>7</v>
      </c>
      <c r="AG8" s="33">
        <f t="shared" si="1"/>
        <v>46180</v>
      </c>
      <c r="AH8" s="33">
        <f ca="1">IF(OR(AF8&gt;$AD$4,AF8&gt;$AD$3),NA(),SUMIFS(JuneTable[Jumlah (Rp)],JuneTable[Tipe],"Pengeluaran",JuneTable[Tanggal],"&lt;="&amp;AG8))</f>
        <v>0</v>
      </c>
      <c r="AI8" s="33">
        <f>IF(AF8&gt;$AD$4,NA(),Rekap!$B$19/$AD$4*AF8)</f>
        <v>55358.333333333328</v>
      </c>
      <c r="AJ8" s="33" t="str">
        <f>Master!$A$12</f>
        <v>Kategori Uji 08</v>
      </c>
      <c r="AK8" s="33">
        <f>SUMIFS(JuneTable[Jumlah (Rp)],JuneTable[Tipe],"Pengeluaran",JuneTable[Kategori],AJ8)</f>
        <v>0</v>
      </c>
      <c r="AL8" s="33">
        <f>SUMIFS(MayTable[Jumlah (Rp)],MayTable[Tipe],"Pengeluaran",MayTable[Kategori],AJ8)</f>
        <v>0</v>
      </c>
      <c r="AM8" s="33">
        <f t="shared" si="0"/>
        <v>7.9999999999999996E-6</v>
      </c>
      <c r="AN8" s="33"/>
      <c r="AO8" s="33"/>
    </row>
    <row r="9" spans="1:41" ht="24.75" customHeight="1" x14ac:dyDescent="0.25">
      <c r="A9" s="5"/>
      <c r="B9" s="3"/>
      <c r="C9" s="3"/>
      <c r="D9" s="3"/>
      <c r="E9" s="6"/>
      <c r="F9" s="4"/>
      <c r="K9" s="56" t="s">
        <v>61</v>
      </c>
      <c r="L9" s="53"/>
      <c r="M9" s="34" t="s">
        <v>70</v>
      </c>
      <c r="N9" s="33"/>
      <c r="O9" s="33"/>
      <c r="P9" s="33"/>
      <c r="Q9" s="33"/>
      <c r="R9" s="33"/>
      <c r="S9" s="33"/>
      <c r="T9" s="33"/>
      <c r="U9" s="33"/>
      <c r="V9" s="33"/>
      <c r="AD9" s="33">
        <f>SUMPRODUCT(MAX((JuneTable[Tipe]="Pengeluaran")*((JuneTable[Jumlah (Rp)]+ROW(JuneTable[Jumlah (Rp)])/1000000)&lt;AD8)*(JuneTable[Jumlah (Rp)]+ROW(JuneTable[Jumlah (Rp)])/1000000)))</f>
        <v>0</v>
      </c>
      <c r="AE9" s="33">
        <f>IFERROR(SUMPRODUCT(MATCH(AD9,(JuneTable[Tipe]="Pengeluaran")*(JuneTable[Jumlah (Rp)]+ROW(JuneTable[Jumlah (Rp)])/1000000),0)),0)</f>
        <v>1</v>
      </c>
      <c r="AF9" s="33">
        <v>8</v>
      </c>
      <c r="AG9" s="33">
        <f t="shared" si="1"/>
        <v>46181</v>
      </c>
      <c r="AH9" s="33">
        <f ca="1">IF(OR(AF9&gt;$AD$4,AF9&gt;$AD$3),NA(),SUMIFS(JuneTable[Jumlah (Rp)],JuneTable[Tipe],"Pengeluaran",JuneTable[Tanggal],"&lt;="&amp;AG9))</f>
        <v>0</v>
      </c>
      <c r="AI9" s="33">
        <f>IF(AF9&gt;$AD$4,NA(),Rekap!$B$19/$AD$4*AF9)</f>
        <v>63266.666666666664</v>
      </c>
      <c r="AJ9" s="33" t="str">
        <f>Master!$A$13</f>
        <v>Kategori Uji 09</v>
      </c>
      <c r="AK9" s="33">
        <f>SUMIFS(JuneTable[Jumlah (Rp)],JuneTable[Tipe],"Pengeluaran",JuneTable[Kategori],AJ9)</f>
        <v>0</v>
      </c>
      <c r="AL9" s="33">
        <f>SUMIFS(MayTable[Jumlah (Rp)],MayTable[Tipe],"Pengeluaran",MayTable[Kategori],AJ9)</f>
        <v>0</v>
      </c>
      <c r="AM9" s="33">
        <f t="shared" si="0"/>
        <v>9.0000000000000002E-6</v>
      </c>
      <c r="AN9" s="33"/>
      <c r="AO9" s="33"/>
    </row>
    <row r="10" spans="1:41" ht="24.75" customHeight="1" x14ac:dyDescent="0.25">
      <c r="A10" s="5"/>
      <c r="B10" s="3"/>
      <c r="C10" s="3"/>
      <c r="D10" s="3"/>
      <c r="E10" s="6"/>
      <c r="F10" s="4"/>
      <c r="K10" s="54" t="str">
        <f>"Hari kerja "&amp;TEXT($AD$1-1,"mmmm")</f>
        <v>Hari kerja May</v>
      </c>
      <c r="L10" s="53"/>
      <c r="M10" s="45"/>
      <c r="N10" s="33"/>
      <c r="O10" s="33"/>
      <c r="P10" s="33"/>
      <c r="Q10" s="33"/>
      <c r="R10" s="32" t="s">
        <v>71</v>
      </c>
      <c r="S10" s="33"/>
      <c r="T10" s="33"/>
      <c r="U10" s="33"/>
      <c r="V10" s="33"/>
      <c r="AD10" s="33">
        <f>SUMPRODUCT(MAX((JuneTable[Tipe]="Pengeluaran")*((JuneTable[Jumlah (Rp)]+ROW(JuneTable[Jumlah (Rp)])/1000000)&lt;AD9)*(JuneTable[Jumlah (Rp)]+ROW(JuneTable[Jumlah (Rp)])/1000000)))</f>
        <v>0</v>
      </c>
      <c r="AE10" s="33">
        <f>IFERROR(SUMPRODUCT(MATCH(AD10,(JuneTable[Tipe]="Pengeluaran")*(JuneTable[Jumlah (Rp)]+ROW(JuneTable[Jumlah (Rp)])/1000000),0)),0)</f>
        <v>1</v>
      </c>
      <c r="AF10" s="33">
        <v>9</v>
      </c>
      <c r="AG10" s="33">
        <f t="shared" si="1"/>
        <v>46182</v>
      </c>
      <c r="AH10" s="33">
        <f ca="1">IF(OR(AF10&gt;$AD$4,AF10&gt;$AD$3),NA(),SUMIFS(JuneTable[Jumlah (Rp)],JuneTable[Tipe],"Pengeluaran",JuneTable[Tanggal],"&lt;="&amp;AG10))</f>
        <v>0</v>
      </c>
      <c r="AI10" s="33">
        <f>IF(AF10&gt;$AD$4,NA(),Rekap!$B$19/$AD$4*AF10)</f>
        <v>71175</v>
      </c>
      <c r="AJ10" s="33" t="str">
        <f>Master!$A$14</f>
        <v>Kategori Uji 10</v>
      </c>
      <c r="AK10" s="33">
        <f>SUMIFS(JuneTable[Jumlah (Rp)],JuneTable[Tipe],"Pengeluaran",JuneTable[Kategori],AJ10)</f>
        <v>0</v>
      </c>
      <c r="AL10" s="33">
        <f>SUMIFS(MayTable[Jumlah (Rp)],MayTable[Tipe],"Pengeluaran",MayTable[Kategori],AJ10)</f>
        <v>0</v>
      </c>
      <c r="AM10" s="33">
        <f t="shared" si="0"/>
        <v>1.0000000000000001E-5</v>
      </c>
      <c r="AN10" s="33"/>
      <c r="AO10" s="33"/>
    </row>
    <row r="11" spans="1:41" ht="24.75" customHeight="1" x14ac:dyDescent="0.25">
      <c r="A11" s="5"/>
      <c r="B11" s="3"/>
      <c r="C11" s="3"/>
      <c r="D11" s="3"/>
      <c r="E11" s="6"/>
      <c r="F11" s="4"/>
      <c r="K11" s="54" t="s">
        <v>72</v>
      </c>
      <c r="L11" s="53"/>
      <c r="M11" s="39">
        <v>50000</v>
      </c>
      <c r="N11" s="33"/>
      <c r="O11" s="33"/>
      <c r="P11" s="33"/>
      <c r="Q11" s="33"/>
      <c r="R11" s="34" t="s">
        <v>84</v>
      </c>
      <c r="S11" s="34" t="s">
        <v>99</v>
      </c>
      <c r="T11" s="34" t="s">
        <v>100</v>
      </c>
      <c r="U11" s="34" t="s">
        <v>5</v>
      </c>
      <c r="V11" s="34" t="s">
        <v>95</v>
      </c>
      <c r="AD11" s="33"/>
      <c r="AE11" s="33"/>
      <c r="AF11" s="33">
        <v>10</v>
      </c>
      <c r="AG11" s="33">
        <f t="shared" si="1"/>
        <v>46183</v>
      </c>
      <c r="AH11" s="33">
        <f ca="1">IF(OR(AF11&gt;$AD$4,AF11&gt;$AD$3),NA(),SUMIFS(JuneTable[Jumlah (Rp)],JuneTable[Tipe],"Pengeluaran",JuneTable[Tanggal],"&lt;="&amp;AG11))</f>
        <v>0</v>
      </c>
      <c r="AI11" s="33">
        <f>IF(AF11&gt;$AD$4,NA(),Rekap!$B$19/$AD$4*AF11)</f>
        <v>79083.333333333328</v>
      </c>
      <c r="AJ11" s="33" t="str">
        <f>Master!$A$15</f>
        <v>Kategori Uji 11</v>
      </c>
      <c r="AK11" s="33">
        <f>SUMIFS(JuneTable[Jumlah (Rp)],JuneTable[Tipe],"Pengeluaran",JuneTable[Kategori],AJ11)</f>
        <v>0</v>
      </c>
      <c r="AL11" s="33">
        <f>SUMIFS(MayTable[Jumlah (Rp)],MayTable[Tipe],"Pengeluaran",MayTable[Kategori],AJ11)</f>
        <v>0</v>
      </c>
      <c r="AM11" s="33">
        <f t="shared" si="0"/>
        <v>1.1E-5</v>
      </c>
      <c r="AN11" s="33"/>
      <c r="AO11" s="33"/>
    </row>
    <row r="12" spans="1:41" ht="24.75" customHeight="1" x14ac:dyDescent="0.25">
      <c r="A12" s="5"/>
      <c r="B12" s="3"/>
      <c r="C12" s="3"/>
      <c r="D12" s="3"/>
      <c r="E12" s="6"/>
      <c r="F12" s="4"/>
      <c r="H12" s="9" t="s">
        <v>65</v>
      </c>
      <c r="I12" t="s">
        <v>118</v>
      </c>
      <c r="K12" s="33"/>
      <c r="L12" s="33"/>
      <c r="M12" s="33"/>
      <c r="N12" s="33"/>
      <c r="O12" s="33"/>
      <c r="P12" s="33"/>
      <c r="Q12" s="33"/>
      <c r="R12" s="35" t="s">
        <v>3</v>
      </c>
      <c r="S12" s="37">
        <f>SUMIFS(MayTable[Jumlah (Rp)],MayTable[Tipe],"Pemasukan")</f>
        <v>0</v>
      </c>
      <c r="T12" s="37">
        <f>SUMIFS(JuneTable[Jumlah (Rp)],JuneTable[Tipe],"Pemasukan")</f>
        <v>0</v>
      </c>
      <c r="U12" s="37">
        <f>T12-S12</f>
        <v>0</v>
      </c>
      <c r="V12" s="48" t="str">
        <f>IFERROR(U12/S12,"")</f>
        <v/>
      </c>
      <c r="AD12" s="33"/>
      <c r="AE12" s="33"/>
      <c r="AF12" s="33">
        <v>11</v>
      </c>
      <c r="AG12" s="33">
        <f t="shared" si="1"/>
        <v>46184</v>
      </c>
      <c r="AH12" s="33">
        <f ca="1">IF(OR(AF12&gt;$AD$4,AF12&gt;$AD$3),NA(),SUMIFS(JuneTable[Jumlah (Rp)],JuneTable[Tipe],"Pengeluaran",JuneTable[Tanggal],"&lt;="&amp;AG12))</f>
        <v>0</v>
      </c>
      <c r="AI12" s="33">
        <f>IF(AF12&gt;$AD$4,NA(),Rekap!$B$19/$AD$4*AF12)</f>
        <v>86991.666666666657</v>
      </c>
      <c r="AJ12" s="33" t="str">
        <f>Master!$A$16</f>
        <v>Kategori Uji 12</v>
      </c>
      <c r="AK12" s="33">
        <f>SUMIFS(JuneTable[Jumlah (Rp)],JuneTable[Tipe],"Pengeluaran",JuneTable[Kategori],AJ12)</f>
        <v>0</v>
      </c>
      <c r="AL12" s="33">
        <f>SUMIFS(MayTable[Jumlah (Rp)],MayTable[Tipe],"Pengeluaran",MayTable[Kategori],AJ12)</f>
        <v>0</v>
      </c>
      <c r="AM12" s="33">
        <f t="shared" si="0"/>
        <v>1.2E-5</v>
      </c>
      <c r="AN12" s="33"/>
      <c r="AO12" s="33"/>
    </row>
    <row r="13" spans="1:41" ht="24.75" customHeight="1" x14ac:dyDescent="0.25">
      <c r="A13" s="5"/>
      <c r="B13" s="3"/>
      <c r="C13" s="3"/>
      <c r="D13" s="3"/>
      <c r="E13" s="6"/>
      <c r="F13" s="4"/>
      <c r="H13" s="57" t="s">
        <v>74</v>
      </c>
      <c r="I13" s="58"/>
      <c r="K13" s="43" t="s">
        <v>75</v>
      </c>
      <c r="L13" s="33"/>
      <c r="M13" s="33"/>
      <c r="N13" s="33"/>
      <c r="O13" s="33"/>
      <c r="P13" s="33"/>
      <c r="Q13" s="33"/>
      <c r="R13" s="35" t="s">
        <v>4</v>
      </c>
      <c r="S13" s="37">
        <f>SUMIFS(MayTable[Jumlah (Rp)],MayTable[Tipe],"Pengeluaran")</f>
        <v>0</v>
      </c>
      <c r="T13" s="37">
        <f>SUMIFS(JuneTable[Jumlah (Rp)],JuneTable[Tipe],"Pengeluaran")</f>
        <v>0</v>
      </c>
      <c r="U13" s="37">
        <f>T13-S13</f>
        <v>0</v>
      </c>
      <c r="V13" s="48" t="str">
        <f>IFERROR(U13/S13,"")</f>
        <v/>
      </c>
      <c r="AD13" s="33"/>
      <c r="AE13" s="33"/>
      <c r="AF13" s="33">
        <v>12</v>
      </c>
      <c r="AG13" s="33">
        <f t="shared" si="1"/>
        <v>46185</v>
      </c>
      <c r="AH13" s="33">
        <f ca="1">IF(OR(AF13&gt;$AD$4,AF13&gt;$AD$3),NA(),SUMIFS(JuneTable[Jumlah (Rp)],JuneTable[Tipe],"Pengeluaran",JuneTable[Tanggal],"&lt;="&amp;AG13))</f>
        <v>0</v>
      </c>
      <c r="AI13" s="33">
        <f>IF(AF13&gt;$AD$4,NA(),Rekap!$B$19/$AD$4*AF13)</f>
        <v>94900</v>
      </c>
      <c r="AJ13" s="33" t="str">
        <f>Master!$A$17</f>
        <v>Kategori Uji 13</v>
      </c>
      <c r="AK13" s="33">
        <f>SUMIFS(JuneTable[Jumlah (Rp)],JuneTable[Tipe],"Pengeluaran",JuneTable[Kategori],AJ13)</f>
        <v>0</v>
      </c>
      <c r="AL13" s="33">
        <f>SUMIFS(MayTable[Jumlah (Rp)],MayTable[Tipe],"Pengeluaran",MayTable[Kategori],AJ13)</f>
        <v>0</v>
      </c>
      <c r="AM13" s="33">
        <f t="shared" si="0"/>
        <v>1.2999999999999999E-5</v>
      </c>
      <c r="AN13" s="33"/>
      <c r="AO13" s="33"/>
    </row>
    <row r="14" spans="1:41" ht="24.75" customHeight="1" x14ac:dyDescent="0.25">
      <c r="A14" s="5"/>
      <c r="B14" s="3"/>
      <c r="C14" s="3"/>
      <c r="D14" s="3"/>
      <c r="E14" s="6"/>
      <c r="F14" s="4"/>
      <c r="H14" s="9" t="s">
        <v>25</v>
      </c>
      <c r="I14" t="s">
        <v>76</v>
      </c>
      <c r="K14" s="56" t="s">
        <v>61</v>
      </c>
      <c r="L14" s="53"/>
      <c r="M14" s="34" t="s">
        <v>70</v>
      </c>
      <c r="N14" s="33"/>
      <c r="O14" s="33"/>
      <c r="P14" s="33"/>
      <c r="Q14" s="33"/>
      <c r="R14" s="35" t="s">
        <v>96</v>
      </c>
      <c r="S14" s="47">
        <f>COUNTA(MayTable[Tanggal])</f>
        <v>0</v>
      </c>
      <c r="T14" s="47">
        <f>COUNTA(JuneTable[Tanggal])</f>
        <v>0</v>
      </c>
      <c r="U14" s="47">
        <f>T14-S14</f>
        <v>0</v>
      </c>
      <c r="V14" s="48" t="str">
        <f>IFERROR(U14/S14,"")</f>
        <v/>
      </c>
      <c r="AD14" s="33"/>
      <c r="AE14" s="33"/>
      <c r="AF14" s="33">
        <v>13</v>
      </c>
      <c r="AG14" s="33">
        <f t="shared" si="1"/>
        <v>46186</v>
      </c>
      <c r="AH14" s="33">
        <f ca="1">IF(OR(AF14&gt;$AD$4,AF14&gt;$AD$3),NA(),SUMIFS(JuneTable[Jumlah (Rp)],JuneTable[Tipe],"Pengeluaran",JuneTable[Tanggal],"&lt;="&amp;AG14))</f>
        <v>0</v>
      </c>
      <c r="AI14" s="33">
        <f>IF(AF14&gt;$AD$4,NA(),Rekap!$B$19/$AD$4*AF14)</f>
        <v>102808.33333333333</v>
      </c>
      <c r="AJ14" s="33" t="str">
        <f>Master!$A$18</f>
        <v>Kategori Uji 14</v>
      </c>
      <c r="AK14" s="33">
        <f>SUMIFS(JuneTable[Jumlah (Rp)],JuneTable[Tipe],"Pengeluaran",JuneTable[Kategori],AJ14)</f>
        <v>0</v>
      </c>
      <c r="AL14" s="33">
        <f>SUMIFS(MayTable[Jumlah (Rp)],MayTable[Tipe],"Pengeluaran",MayTable[Kategori],AJ14)</f>
        <v>0</v>
      </c>
      <c r="AM14" s="33">
        <f t="shared" si="0"/>
        <v>1.4E-5</v>
      </c>
      <c r="AN14" s="33"/>
      <c r="AO14" s="33"/>
    </row>
    <row r="15" spans="1:41" ht="24.75" customHeight="1" x14ac:dyDescent="0.25">
      <c r="A15" s="5"/>
      <c r="B15" s="3"/>
      <c r="C15" s="3"/>
      <c r="D15" s="3"/>
      <c r="E15" s="6"/>
      <c r="F15" s="4"/>
      <c r="H15" s="10" t="s">
        <v>119</v>
      </c>
      <c r="I15" s="7"/>
      <c r="K15" s="54" t="s">
        <v>77</v>
      </c>
      <c r="L15" s="53"/>
      <c r="M15" s="37">
        <f>D2</f>
        <v>0</v>
      </c>
      <c r="N15" s="33"/>
      <c r="O15" s="33"/>
      <c r="P15" s="33"/>
      <c r="Q15" s="33"/>
      <c r="R15" s="35" t="s">
        <v>97</v>
      </c>
      <c r="S15" s="37">
        <f>IFERROR(S13/S14,0)</f>
        <v>0</v>
      </c>
      <c r="T15" s="37">
        <f>IFERROR(T13/T14,0)</f>
        <v>0</v>
      </c>
      <c r="U15" s="37">
        <f>T15-S15</f>
        <v>0</v>
      </c>
      <c r="V15" s="48" t="str">
        <f>IFERROR(U15/S15,"")</f>
        <v/>
      </c>
      <c r="AD15" s="33"/>
      <c r="AE15" s="33"/>
      <c r="AF15" s="33">
        <v>14</v>
      </c>
      <c r="AG15" s="33">
        <f t="shared" si="1"/>
        <v>46187</v>
      </c>
      <c r="AH15" s="33">
        <f ca="1">IF(OR(AF15&gt;$AD$4,AF15&gt;$AD$3),NA(),SUMIFS(JuneTable[Jumlah (Rp)],JuneTable[Tipe],"Pengeluaran",JuneTable[Tanggal],"&lt;="&amp;AG15))</f>
        <v>0</v>
      </c>
      <c r="AI15" s="33">
        <f>IF(AF15&gt;$AD$4,NA(),Rekap!$B$19/$AD$4*AF15)</f>
        <v>110716.66666666666</v>
      </c>
      <c r="AJ15" s="33" t="str">
        <f>Master!$A$19</f>
        <v>Kategori Uji 15</v>
      </c>
      <c r="AK15" s="33">
        <f>SUMIFS(JuneTable[Jumlah (Rp)],JuneTable[Tipe],"Pengeluaran",JuneTable[Kategori],AJ15)</f>
        <v>0</v>
      </c>
      <c r="AL15" s="33">
        <f>SUMIFS(MayTable[Jumlah (Rp)],MayTable[Tipe],"Pengeluaran",MayTable[Kategori],AJ15)</f>
        <v>0</v>
      </c>
      <c r="AM15" s="33">
        <f t="shared" si="0"/>
        <v>1.5E-5</v>
      </c>
      <c r="AN15" s="33"/>
      <c r="AO15" s="33"/>
    </row>
    <row r="16" spans="1:41" ht="24.75" customHeight="1" x14ac:dyDescent="0.25">
      <c r="A16" s="5"/>
      <c r="B16" s="3"/>
      <c r="C16" s="3"/>
      <c r="D16" s="3"/>
      <c r="E16" s="6"/>
      <c r="F16" s="4"/>
      <c r="H16" s="10" t="s">
        <v>92</v>
      </c>
      <c r="I16" s="7"/>
      <c r="K16" s="54" t="s">
        <v>57</v>
      </c>
      <c r="L16" s="53"/>
      <c r="M16" s="37">
        <f ca="1">O6</f>
        <v>0</v>
      </c>
      <c r="N16" s="33"/>
      <c r="O16" s="33"/>
      <c r="P16" s="33"/>
      <c r="Q16" s="33"/>
      <c r="R16" s="33"/>
      <c r="S16" s="33"/>
      <c r="T16" s="33"/>
      <c r="U16" s="33"/>
      <c r="V16" s="33"/>
      <c r="AD16" s="33"/>
      <c r="AE16" s="33"/>
      <c r="AF16" s="33">
        <v>15</v>
      </c>
      <c r="AG16" s="33">
        <f t="shared" si="1"/>
        <v>46188</v>
      </c>
      <c r="AH16" s="33">
        <f ca="1">IF(OR(AF16&gt;$AD$4,AF16&gt;$AD$3),NA(),SUMIFS(JuneTable[Jumlah (Rp)],JuneTable[Tipe],"Pengeluaran",JuneTable[Tanggal],"&lt;="&amp;AG16))</f>
        <v>0</v>
      </c>
      <c r="AI16" s="33">
        <f>IF(AF16&gt;$AD$4,NA(),Rekap!$B$19/$AD$4*AF16)</f>
        <v>118625</v>
      </c>
      <c r="AJ16" s="33" t="str">
        <f>Master!$A$20</f>
        <v>Kategori Uji 16</v>
      </c>
      <c r="AK16" s="33">
        <f>SUMIFS(JuneTable[Jumlah (Rp)],JuneTable[Tipe],"Pengeluaran",JuneTable[Kategori],AJ16)</f>
        <v>0</v>
      </c>
      <c r="AL16" s="33">
        <f>SUMIFS(MayTable[Jumlah (Rp)],MayTable[Tipe],"Pengeluaran",MayTable[Kategori],AJ16)</f>
        <v>0</v>
      </c>
      <c r="AM16" s="33">
        <f t="shared" si="0"/>
        <v>1.5999999999999999E-5</v>
      </c>
      <c r="AN16" s="33"/>
      <c r="AO16" s="33"/>
    </row>
    <row r="17" spans="1:41" ht="24.75" customHeight="1" x14ac:dyDescent="0.25">
      <c r="A17" s="5"/>
      <c r="B17" s="3"/>
      <c r="C17" s="3"/>
      <c r="D17" s="3"/>
      <c r="E17" s="6"/>
      <c r="F17" s="4"/>
      <c r="K17" s="54" t="s">
        <v>78</v>
      </c>
      <c r="L17" s="53"/>
      <c r="M17" s="37">
        <f ca="1">M15+M16</f>
        <v>0</v>
      </c>
      <c r="N17" s="33"/>
      <c r="O17" s="33"/>
      <c r="P17" s="33"/>
      <c r="Q17" s="33"/>
      <c r="R17" s="43" t="s">
        <v>98</v>
      </c>
      <c r="S17" s="33"/>
      <c r="T17" s="33"/>
      <c r="U17" s="33"/>
      <c r="V17" s="33"/>
      <c r="AD17" s="33"/>
      <c r="AE17" s="33"/>
      <c r="AF17" s="33">
        <v>16</v>
      </c>
      <c r="AG17" s="33">
        <f t="shared" si="1"/>
        <v>46189</v>
      </c>
      <c r="AH17" s="33">
        <f ca="1">IF(OR(AF17&gt;$AD$4,AF17&gt;$AD$3),NA(),SUMIFS(JuneTable[Jumlah (Rp)],JuneTable[Tipe],"Pengeluaran",JuneTable[Tanggal],"&lt;="&amp;AG17))</f>
        <v>0</v>
      </c>
      <c r="AI17" s="33">
        <f>IF(AF17&gt;$AD$4,NA(),Rekap!$B$19/$AD$4*AF17)</f>
        <v>126533.33333333333</v>
      </c>
      <c r="AJ17" s="33" t="str">
        <f>Master!$A$21</f>
        <v>Kategori Uji 17</v>
      </c>
      <c r="AK17" s="33">
        <f>SUMIFS(JuneTable[Jumlah (Rp)],JuneTable[Tipe],"Pengeluaran",JuneTable[Kategori],AJ17)</f>
        <v>0</v>
      </c>
      <c r="AL17" s="33">
        <f>SUMIFS(MayTable[Jumlah (Rp)],MayTable[Tipe],"Pengeluaran",MayTable[Kategori],AJ17)</f>
        <v>0</v>
      </c>
      <c r="AM17" s="33">
        <f t="shared" si="0"/>
        <v>1.7E-5</v>
      </c>
      <c r="AN17" s="33"/>
      <c r="AO17" s="33"/>
    </row>
    <row r="18" spans="1:41" ht="24.75" customHeight="1" x14ac:dyDescent="0.25">
      <c r="A18" s="5"/>
      <c r="B18" s="3"/>
      <c r="C18" s="3"/>
      <c r="D18" s="3"/>
      <c r="E18" s="6"/>
      <c r="F18" s="4"/>
      <c r="K18" s="54" t="s">
        <v>79</v>
      </c>
      <c r="L18" s="53"/>
      <c r="M18" s="37">
        <f ca="1">M29</f>
        <v>0</v>
      </c>
      <c r="N18" s="33"/>
      <c r="O18" s="33"/>
      <c r="P18" s="33"/>
      <c r="Q18" s="33"/>
      <c r="R18" s="34" t="s">
        <v>25</v>
      </c>
      <c r="S18" s="34" t="s">
        <v>99</v>
      </c>
      <c r="T18" s="34" t="s">
        <v>100</v>
      </c>
      <c r="U18" s="34" t="s">
        <v>5</v>
      </c>
      <c r="V18" s="34" t="s">
        <v>95</v>
      </c>
      <c r="AD18" s="33"/>
      <c r="AE18" s="33"/>
      <c r="AF18" s="33">
        <v>17</v>
      </c>
      <c r="AG18" s="33">
        <f t="shared" si="1"/>
        <v>46190</v>
      </c>
      <c r="AH18" s="33">
        <f ca="1">IF(OR(AF18&gt;$AD$4,AF18&gt;$AD$3),NA(),SUMIFS(JuneTable[Jumlah (Rp)],JuneTable[Tipe],"Pengeluaran",JuneTable[Tanggal],"&lt;="&amp;AG18))</f>
        <v>0</v>
      </c>
      <c r="AI18" s="33">
        <f>IF(AF18&gt;$AD$4,NA(),Rekap!$B$19/$AD$4*AF18)</f>
        <v>134441.66666666666</v>
      </c>
      <c r="AJ18" s="33" t="str">
        <f>Master!$A$22</f>
        <v>Kategori Uji 18</v>
      </c>
      <c r="AK18" s="33">
        <f>SUMIFS(JuneTable[Jumlah (Rp)],JuneTable[Tipe],"Pengeluaran",JuneTable[Kategori],AJ18)</f>
        <v>0</v>
      </c>
      <c r="AL18" s="33">
        <f>SUMIFS(MayTable[Jumlah (Rp)],MayTable[Tipe],"Pengeluaran",MayTable[Kategori],AJ18)</f>
        <v>0</v>
      </c>
      <c r="AM18" s="33">
        <f t="shared" si="0"/>
        <v>1.8E-5</v>
      </c>
      <c r="AN18" s="33"/>
      <c r="AO18" s="33"/>
    </row>
    <row r="19" spans="1:41" ht="24.75" customHeight="1" x14ac:dyDescent="0.25">
      <c r="A19" s="5"/>
      <c r="B19" s="3"/>
      <c r="C19" s="3"/>
      <c r="D19" s="3"/>
      <c r="E19" s="6"/>
      <c r="F19" s="4"/>
      <c r="K19" s="52" t="s">
        <v>80</v>
      </c>
      <c r="L19" s="53"/>
      <c r="M19" s="42">
        <f ca="1">M17-M18</f>
        <v>0</v>
      </c>
      <c r="N19" s="33"/>
      <c r="O19" s="33"/>
      <c r="P19" s="33"/>
      <c r="Q19" s="33"/>
      <c r="R19" s="35" t="str">
        <f>IF($AO$1=0,"",INDEX($AJ$1:$AJ$23,$AO$1))</f>
        <v>Kategori Uji 24</v>
      </c>
      <c r="S19" s="37">
        <f>IF($AO$1=0,"",INDEX($AL$1:$AL$23,$AO$1))</f>
        <v>0</v>
      </c>
      <c r="T19" s="37">
        <f>IF($AO$1=0,"",INDEX($AK$1:$AK$23,$AO$1))</f>
        <v>0</v>
      </c>
      <c r="U19" s="37">
        <f>IF($R19="","",T19-S19)</f>
        <v>0</v>
      </c>
      <c r="V19" s="48" t="str">
        <f>IFERROR(U19/S19,"")</f>
        <v/>
      </c>
      <c r="AD19" s="33"/>
      <c r="AE19" s="33"/>
      <c r="AF19" s="33">
        <v>18</v>
      </c>
      <c r="AG19" s="33">
        <f t="shared" si="1"/>
        <v>46191</v>
      </c>
      <c r="AH19" s="33">
        <f ca="1">IF(OR(AF19&gt;$AD$4,AF19&gt;$AD$3),NA(),SUMIFS(JuneTable[Jumlah (Rp)],JuneTable[Tipe],"Pengeluaran",JuneTable[Tanggal],"&lt;="&amp;AG19))</f>
        <v>0</v>
      </c>
      <c r="AI19" s="33">
        <f>IF(AF19&gt;$AD$4,NA(),Rekap!$B$19/$AD$4*AF19)</f>
        <v>142350</v>
      </c>
      <c r="AJ19" s="33" t="str">
        <f>Master!$A$23</f>
        <v>Kategori Uji 19</v>
      </c>
      <c r="AK19" s="33">
        <f>SUMIFS(JuneTable[Jumlah (Rp)],JuneTable[Tipe],"Pengeluaran",JuneTable[Kategori],AJ19)</f>
        <v>0</v>
      </c>
      <c r="AL19" s="33">
        <f>SUMIFS(MayTable[Jumlah (Rp)],MayTable[Tipe],"Pengeluaran",MayTable[Kategori],AJ19)</f>
        <v>0</v>
      </c>
      <c r="AM19" s="33">
        <f t="shared" si="0"/>
        <v>1.9000000000000001E-5</v>
      </c>
      <c r="AN19" s="33"/>
      <c r="AO19" s="33"/>
    </row>
    <row r="20" spans="1:41" ht="24.75" customHeight="1" x14ac:dyDescent="0.25">
      <c r="A20" s="5"/>
      <c r="B20" s="3"/>
      <c r="C20" s="3"/>
      <c r="D20" s="3"/>
      <c r="E20" s="6"/>
      <c r="F20" s="4"/>
      <c r="K20" s="52" t="s">
        <v>81</v>
      </c>
      <c r="L20" s="53"/>
      <c r="M20" s="42">
        <f ca="1">D1+M17-M18</f>
        <v>0</v>
      </c>
      <c r="N20" s="33"/>
      <c r="O20" s="33"/>
      <c r="P20" s="33"/>
      <c r="Q20" s="33"/>
      <c r="R20" s="35" t="str">
        <f>IF($AO$2=0,"",INDEX($AJ$1:$AJ$23,$AO$2))</f>
        <v>Kategori Uji 23</v>
      </c>
      <c r="S20" s="37">
        <f>IF($AO$2=0,"",INDEX($AL$1:$AL$23,$AO$2))</f>
        <v>0</v>
      </c>
      <c r="T20" s="37">
        <f>IF($AO$2=0,"",INDEX($AK$1:$AK$23,$AO$2))</f>
        <v>0</v>
      </c>
      <c r="U20" s="37">
        <f>IF($R20="","",T20-S20)</f>
        <v>0</v>
      </c>
      <c r="V20" s="48" t="str">
        <f>IFERROR(U20/S20,"")</f>
        <v/>
      </c>
      <c r="AD20" s="33"/>
      <c r="AE20" s="33"/>
      <c r="AF20" s="33">
        <v>19</v>
      </c>
      <c r="AG20" s="33">
        <f t="shared" si="1"/>
        <v>46192</v>
      </c>
      <c r="AH20" s="33">
        <f ca="1">IF(OR(AF20&gt;$AD$4,AF20&gt;$AD$3),NA(),SUMIFS(JuneTable[Jumlah (Rp)],JuneTable[Tipe],"Pengeluaran",JuneTable[Tanggal],"&lt;="&amp;AG20))</f>
        <v>0</v>
      </c>
      <c r="AI20" s="33">
        <f>IF(AF20&gt;$AD$4,NA(),Rekap!$B$19/$AD$4*AF20)</f>
        <v>150258.33333333331</v>
      </c>
      <c r="AJ20" s="33" t="str">
        <f>Master!$A$24</f>
        <v>Kategori Uji 20</v>
      </c>
      <c r="AK20" s="33">
        <f>SUMIFS(JuneTable[Jumlah (Rp)],JuneTable[Tipe],"Pengeluaran",JuneTable[Kategori],AJ20)</f>
        <v>0</v>
      </c>
      <c r="AL20" s="33">
        <f>SUMIFS(MayTable[Jumlah (Rp)],MayTable[Tipe],"Pengeluaran",MayTable[Kategori],AJ20)</f>
        <v>0</v>
      </c>
      <c r="AM20" s="33">
        <f t="shared" si="0"/>
        <v>2.0000000000000002E-5</v>
      </c>
      <c r="AN20" s="33"/>
      <c r="AO20" s="33"/>
    </row>
    <row r="21" spans="1:41" ht="24.75" customHeight="1" x14ac:dyDescent="0.25">
      <c r="A21" s="5"/>
      <c r="B21" s="3"/>
      <c r="C21" s="3"/>
      <c r="D21" s="3"/>
      <c r="E21" s="6"/>
      <c r="F21" s="4"/>
      <c r="K21" s="46" t="s">
        <v>82</v>
      </c>
      <c r="L21" s="33"/>
      <c r="M21" s="33"/>
      <c r="N21" s="33"/>
      <c r="O21" s="33"/>
      <c r="P21" s="33"/>
      <c r="Q21" s="33"/>
      <c r="R21" s="35" t="str">
        <f>IF($AO$3=0,"",INDEX($AJ$1:$AJ$23,$AO$3))</f>
        <v>Kategori Uji 21</v>
      </c>
      <c r="S21" s="37">
        <f>IF($AO$3=0,"",INDEX($AL$1:$AL$23,$AO$3))</f>
        <v>0</v>
      </c>
      <c r="T21" s="37">
        <f>IF($AO$3=0,"",INDEX($AK$1:$AK$23,$AO$3))</f>
        <v>0</v>
      </c>
      <c r="U21" s="37">
        <f>IF($R21="","",T21-S21)</f>
        <v>0</v>
      </c>
      <c r="V21" s="48" t="str">
        <f>IFERROR(U21/S21,"")</f>
        <v/>
      </c>
      <c r="AD21" s="33"/>
      <c r="AE21" s="33"/>
      <c r="AF21" s="33">
        <v>20</v>
      </c>
      <c r="AG21" s="33">
        <f t="shared" si="1"/>
        <v>46193</v>
      </c>
      <c r="AH21" s="33">
        <f ca="1">IF(OR(AF21&gt;$AD$4,AF21&gt;$AD$3),NA(),SUMIFS(JuneTable[Jumlah (Rp)],JuneTable[Tipe],"Pengeluaran",JuneTable[Tanggal],"&lt;="&amp;AG21))</f>
        <v>0</v>
      </c>
      <c r="AI21" s="33">
        <f>IF(AF21&gt;$AD$4,NA(),Rekap!$B$19/$AD$4*AF21)</f>
        <v>158166.66666666666</v>
      </c>
      <c r="AJ21" s="33" t="str">
        <f>Master!$A$25</f>
        <v>Kategori Uji 21</v>
      </c>
      <c r="AK21" s="33">
        <f>SUMIFS(JuneTable[Jumlah (Rp)],JuneTable[Tipe],"Pengeluaran",JuneTable[Kategori],AJ21)</f>
        <v>0</v>
      </c>
      <c r="AL21" s="33">
        <f>SUMIFS(MayTable[Jumlah (Rp)],MayTable[Tipe],"Pengeluaran",MayTable[Kategori],AJ21)</f>
        <v>0</v>
      </c>
      <c r="AM21" s="33">
        <f t="shared" si="0"/>
        <v>2.0999999999999999E-5</v>
      </c>
      <c r="AN21" s="33"/>
      <c r="AO21" s="33"/>
    </row>
    <row r="22" spans="1:41" ht="24.75" customHeight="1" x14ac:dyDescent="0.25">
      <c r="A22" s="5"/>
      <c r="B22" s="3"/>
      <c r="C22" s="3"/>
      <c r="D22" s="3"/>
      <c r="E22" s="6"/>
      <c r="F22" s="4"/>
      <c r="K22" s="33"/>
      <c r="L22" s="33"/>
      <c r="M22" s="33"/>
      <c r="N22" s="33"/>
      <c r="O22" s="33"/>
      <c r="P22" s="33"/>
      <c r="Q22" s="33"/>
      <c r="R22" s="35" t="str">
        <f>IF($AO$4=0,"",INDEX($AJ$1:$AJ$23,$AO$4))</f>
        <v>Kategori Uji 20</v>
      </c>
      <c r="S22" s="37">
        <f>IF($AO$4=0,"",INDEX($AL$1:$AL$23,$AO$4))</f>
        <v>0</v>
      </c>
      <c r="T22" s="37">
        <f>IF($AO$4=0,"",INDEX($AK$1:$AK$23,$AO$4))</f>
        <v>0</v>
      </c>
      <c r="U22" s="37">
        <f>IF($R22="","",T22-S22)</f>
        <v>0</v>
      </c>
      <c r="V22" s="48" t="str">
        <f>IFERROR(U22/S22,"")</f>
        <v/>
      </c>
      <c r="AD22" s="33"/>
      <c r="AE22" s="33"/>
      <c r="AF22" s="33">
        <v>21</v>
      </c>
      <c r="AG22" s="33">
        <f t="shared" si="1"/>
        <v>46194</v>
      </c>
      <c r="AH22" s="33">
        <f ca="1">IF(OR(AF22&gt;$AD$4,AF22&gt;$AD$3),NA(),SUMIFS(JuneTable[Jumlah (Rp)],JuneTable[Tipe],"Pengeluaran",JuneTable[Tanggal],"&lt;="&amp;AG22))</f>
        <v>0</v>
      </c>
      <c r="AI22" s="33">
        <f>IF(AF22&gt;$AD$4,NA(),Rekap!$B$19/$AD$4*AF22)</f>
        <v>166075</v>
      </c>
      <c r="AJ22" s="33" t="str">
        <f>Master!$A$27</f>
        <v>Kategori Uji 23</v>
      </c>
      <c r="AK22" s="33">
        <f>SUMIFS(JuneTable[Jumlah (Rp)],JuneTable[Tipe],"Pengeluaran",JuneTable[Kategori],AJ22)</f>
        <v>0</v>
      </c>
      <c r="AL22" s="33">
        <f>SUMIFS(MayTable[Jumlah (Rp)],MayTable[Tipe],"Pengeluaran",MayTable[Kategori],AJ22)</f>
        <v>0</v>
      </c>
      <c r="AM22" s="33">
        <f t="shared" si="0"/>
        <v>2.1999999999999999E-5</v>
      </c>
      <c r="AN22" s="33"/>
      <c r="AO22" s="33"/>
    </row>
    <row r="23" spans="1:41" ht="24.75" customHeight="1" x14ac:dyDescent="0.25">
      <c r="A23" s="5"/>
      <c r="B23" s="3"/>
      <c r="C23" s="3"/>
      <c r="D23" s="3"/>
      <c r="E23" s="6"/>
      <c r="F23" s="4"/>
      <c r="K23" s="32" t="s">
        <v>83</v>
      </c>
      <c r="L23" s="33"/>
      <c r="M23" s="33"/>
      <c r="N23" s="33"/>
      <c r="O23" s="33"/>
      <c r="P23" s="33"/>
      <c r="Q23" s="33"/>
      <c r="R23" s="35" t="str">
        <f>IF($AO$5=0,"",INDEX($AJ$1:$AJ$23,$AO$5))</f>
        <v>Kategori Uji 19</v>
      </c>
      <c r="S23" s="37">
        <f>IF($AO$5=0,"",INDEX($AL$1:$AL$23,$AO$5))</f>
        <v>0</v>
      </c>
      <c r="T23" s="37">
        <f>IF($AO$5=0,"",INDEX($AK$1:$AK$23,$AO$5))</f>
        <v>0</v>
      </c>
      <c r="U23" s="37">
        <f>IF($R23="","",T23-S23)</f>
        <v>0</v>
      </c>
      <c r="V23" s="48" t="str">
        <f>IFERROR(U23/S23,"")</f>
        <v/>
      </c>
      <c r="AD23" s="33"/>
      <c r="AE23" s="33"/>
      <c r="AF23" s="33">
        <v>22</v>
      </c>
      <c r="AG23" s="33">
        <f t="shared" si="1"/>
        <v>46195</v>
      </c>
      <c r="AH23" s="33">
        <f ca="1">IF(OR(AF23&gt;$AD$4,AF23&gt;$AD$3),NA(),SUMIFS(JuneTable[Jumlah (Rp)],JuneTable[Tipe],"Pengeluaran",JuneTable[Tanggal],"&lt;="&amp;AG23))</f>
        <v>0</v>
      </c>
      <c r="AI23" s="33">
        <f>IF(AF23&gt;$AD$4,NA(),Rekap!$B$19/$AD$4*AF23)</f>
        <v>173983.33333333331</v>
      </c>
      <c r="AJ23" s="33" t="str">
        <f>Master!$A$28</f>
        <v>Kategori Uji 24</v>
      </c>
      <c r="AK23" s="33">
        <f>SUMIFS(JuneTable[Jumlah (Rp)],JuneTable[Tipe],"Pengeluaran",JuneTable[Kategori],AJ23)</f>
        <v>0</v>
      </c>
      <c r="AL23" s="33">
        <f>SUMIFS(MayTable[Jumlah (Rp)],MayTable[Tipe],"Pengeluaran",MayTable[Kategori],AJ23)</f>
        <v>0</v>
      </c>
      <c r="AM23" s="33">
        <f t="shared" si="0"/>
        <v>2.3E-5</v>
      </c>
      <c r="AN23" s="33"/>
      <c r="AO23" s="33"/>
    </row>
    <row r="24" spans="1:41" ht="24.75" customHeight="1" x14ac:dyDescent="0.25">
      <c r="A24" s="5"/>
      <c r="B24" s="3"/>
      <c r="C24" s="3"/>
      <c r="D24" s="3"/>
      <c r="E24" s="6"/>
      <c r="F24" s="4"/>
      <c r="K24" s="56" t="s">
        <v>84</v>
      </c>
      <c r="L24" s="53"/>
      <c r="M24" s="34" t="s">
        <v>70</v>
      </c>
      <c r="N24" s="33"/>
      <c r="O24" s="33"/>
      <c r="P24" s="33"/>
      <c r="Q24" s="33"/>
      <c r="R24" s="33"/>
      <c r="S24" s="33"/>
      <c r="T24" s="33"/>
      <c r="U24" s="33"/>
      <c r="V24" s="33"/>
      <c r="AD24" s="33"/>
      <c r="AE24" s="33"/>
      <c r="AF24" s="33">
        <v>23</v>
      </c>
      <c r="AG24" s="33">
        <f t="shared" si="1"/>
        <v>46196</v>
      </c>
      <c r="AH24" s="33">
        <f ca="1">IF(OR(AF24&gt;$AD$4,AF24&gt;$AD$3),NA(),SUMIFS(JuneTable[Jumlah (Rp)],JuneTable[Tipe],"Pengeluaran",JuneTable[Tanggal],"&lt;="&amp;AG24))</f>
        <v>0</v>
      </c>
      <c r="AI24" s="33">
        <f>IF(AF24&gt;$AD$4,NA(),Rekap!$B$19/$AD$4*AF24)</f>
        <v>181891.66666666666</v>
      </c>
      <c r="AJ24" s="33"/>
      <c r="AK24" s="33"/>
      <c r="AL24" s="33"/>
      <c r="AM24" s="33"/>
      <c r="AN24" s="33"/>
      <c r="AO24" s="33"/>
    </row>
    <row r="25" spans="1:41" ht="24.75" customHeight="1" x14ac:dyDescent="0.25">
      <c r="A25" s="5"/>
      <c r="B25" s="3"/>
      <c r="C25" s="3"/>
      <c r="D25" s="3"/>
      <c r="E25" s="6"/>
      <c r="F25" s="4"/>
      <c r="K25" s="54" t="s">
        <v>85</v>
      </c>
      <c r="L25" s="53"/>
      <c r="M25" s="47">
        <f ca="1">AD3</f>
        <v>30</v>
      </c>
      <c r="N25" s="33"/>
      <c r="O25" s="33"/>
      <c r="P25" s="33"/>
      <c r="Q25" s="33"/>
      <c r="R25" s="32" t="s">
        <v>86</v>
      </c>
      <c r="S25" s="33"/>
      <c r="T25" s="33"/>
      <c r="U25" s="33"/>
      <c r="V25" s="33"/>
      <c r="AD25" s="33"/>
      <c r="AE25" s="33"/>
      <c r="AF25" s="33">
        <v>24</v>
      </c>
      <c r="AG25" s="33">
        <f t="shared" si="1"/>
        <v>46197</v>
      </c>
      <c r="AH25" s="33">
        <f ca="1">IF(OR(AF25&gt;$AD$4,AF25&gt;$AD$3),NA(),SUMIFS(JuneTable[Jumlah (Rp)],JuneTable[Tipe],"Pengeluaran",JuneTable[Tanggal],"&lt;="&amp;AG25))</f>
        <v>0</v>
      </c>
      <c r="AI25" s="33">
        <f>IF(AF25&gt;$AD$4,NA(),Rekap!$B$19/$AD$4*AF25)</f>
        <v>189800</v>
      </c>
      <c r="AJ25" s="33"/>
      <c r="AK25" s="33"/>
      <c r="AL25" s="33"/>
      <c r="AM25" s="33"/>
      <c r="AN25" s="33"/>
      <c r="AO25" s="33"/>
    </row>
    <row r="26" spans="1:41" ht="24.75" customHeight="1" x14ac:dyDescent="0.25">
      <c r="A26" s="5"/>
      <c r="B26" s="3"/>
      <c r="C26" s="3"/>
      <c r="D26" s="3"/>
      <c r="E26" s="6"/>
      <c r="F26" s="4"/>
      <c r="K26" s="54" t="s">
        <v>87</v>
      </c>
      <c r="L26" s="53"/>
      <c r="M26" s="47">
        <f>AD4</f>
        <v>30</v>
      </c>
      <c r="N26" s="33"/>
      <c r="O26" s="33"/>
      <c r="P26" s="33"/>
      <c r="Q26" s="33"/>
      <c r="R26" s="33"/>
      <c r="S26" s="33"/>
      <c r="T26" s="33"/>
      <c r="U26" s="33"/>
      <c r="V26" s="33"/>
      <c r="AD26" s="33"/>
      <c r="AE26" s="33"/>
      <c r="AF26" s="33">
        <v>25</v>
      </c>
      <c r="AG26" s="33">
        <f t="shared" si="1"/>
        <v>46198</v>
      </c>
      <c r="AH26" s="33">
        <f ca="1">IF(OR(AF26&gt;$AD$4,AF26&gt;$AD$3),NA(),SUMIFS(JuneTable[Jumlah (Rp)],JuneTable[Tipe],"Pengeluaran",JuneTable[Tanggal],"&lt;="&amp;AG26))</f>
        <v>0</v>
      </c>
      <c r="AI26" s="33">
        <f>IF(AF26&gt;$AD$4,NA(),Rekap!$B$19/$AD$4*AF26)</f>
        <v>197708.33333333331</v>
      </c>
      <c r="AJ26" s="33"/>
      <c r="AK26" s="33"/>
      <c r="AL26" s="33"/>
      <c r="AM26" s="33"/>
      <c r="AN26" s="33"/>
      <c r="AO26" s="33"/>
    </row>
    <row r="27" spans="1:41" ht="24.75" customHeight="1" x14ac:dyDescent="0.25">
      <c r="A27" s="5"/>
      <c r="B27" s="3"/>
      <c r="C27" s="3"/>
      <c r="D27" s="3"/>
      <c r="E27" s="6"/>
      <c r="F27" s="4"/>
      <c r="K27" s="54" t="s">
        <v>88</v>
      </c>
      <c r="L27" s="53"/>
      <c r="M27" s="37">
        <f>D3</f>
        <v>0</v>
      </c>
      <c r="N27" s="33"/>
      <c r="O27" s="33"/>
      <c r="P27" s="33"/>
      <c r="Q27" s="33"/>
      <c r="R27" s="33"/>
      <c r="S27" s="33"/>
      <c r="T27" s="33"/>
      <c r="U27" s="33"/>
      <c r="V27" s="33"/>
      <c r="AD27" s="33"/>
      <c r="AE27" s="33"/>
      <c r="AF27" s="33">
        <v>26</v>
      </c>
      <c r="AG27" s="33">
        <f t="shared" si="1"/>
        <v>46199</v>
      </c>
      <c r="AH27" s="33">
        <f ca="1">IF(OR(AF27&gt;$AD$4,AF27&gt;$AD$3),NA(),SUMIFS(JuneTable[Jumlah (Rp)],JuneTable[Tipe],"Pengeluaran",JuneTable[Tanggal],"&lt;="&amp;AG27))</f>
        <v>0</v>
      </c>
      <c r="AI27" s="33">
        <f>IF(AF27&gt;$AD$4,NA(),Rekap!$B$19/$AD$4*AF27)</f>
        <v>205616.66666666666</v>
      </c>
      <c r="AJ27" s="33"/>
      <c r="AK27" s="33"/>
      <c r="AL27" s="33"/>
      <c r="AM27" s="33"/>
      <c r="AN27" s="33"/>
      <c r="AO27" s="33"/>
    </row>
    <row r="28" spans="1:41" ht="24.75" customHeight="1" x14ac:dyDescent="0.25">
      <c r="A28" s="5"/>
      <c r="B28" s="3"/>
      <c r="C28" s="3"/>
      <c r="D28" s="3"/>
      <c r="E28" s="6"/>
      <c r="F28" s="4"/>
      <c r="K28" s="54" t="s">
        <v>89</v>
      </c>
      <c r="L28" s="53"/>
      <c r="M28" s="37">
        <f ca="1">IFERROR(M27/M25,0)</f>
        <v>0</v>
      </c>
      <c r="N28" s="33"/>
      <c r="O28" s="33"/>
      <c r="P28" s="33"/>
      <c r="Q28" s="33"/>
      <c r="R28" s="33"/>
      <c r="S28" s="33"/>
      <c r="T28" s="33"/>
      <c r="U28" s="33"/>
      <c r="V28" s="33"/>
      <c r="AD28" s="33"/>
      <c r="AE28" s="33"/>
      <c r="AF28" s="33">
        <v>27</v>
      </c>
      <c r="AG28" s="33">
        <f t="shared" si="1"/>
        <v>46200</v>
      </c>
      <c r="AH28" s="33">
        <f ca="1">IF(OR(AF28&gt;$AD$4,AF28&gt;$AD$3),NA(),SUMIFS(JuneTable[Jumlah (Rp)],JuneTable[Tipe],"Pengeluaran",JuneTable[Tanggal],"&lt;="&amp;AG28))</f>
        <v>0</v>
      </c>
      <c r="AI28" s="33">
        <f>IF(AF28&gt;$AD$4,NA(),Rekap!$B$19/$AD$4*AF28)</f>
        <v>213525</v>
      </c>
      <c r="AJ28" s="33"/>
      <c r="AK28" s="33"/>
      <c r="AL28" s="33"/>
      <c r="AM28" s="33"/>
      <c r="AN28" s="33"/>
      <c r="AO28" s="33"/>
    </row>
    <row r="29" spans="1:41" ht="24.75" customHeight="1" x14ac:dyDescent="0.25">
      <c r="A29" s="5"/>
      <c r="B29" s="3"/>
      <c r="C29" s="3"/>
      <c r="D29" s="3"/>
      <c r="E29" s="6"/>
      <c r="F29" s="4"/>
      <c r="K29" s="52" t="s">
        <v>90</v>
      </c>
      <c r="L29" s="53"/>
      <c r="M29" s="42">
        <f ca="1">M28*M26</f>
        <v>0</v>
      </c>
      <c r="N29" s="33"/>
      <c r="O29" s="33"/>
      <c r="P29" s="33"/>
      <c r="Q29" s="33"/>
      <c r="R29" s="33"/>
      <c r="S29" s="33"/>
      <c r="T29" s="33"/>
      <c r="U29" s="33"/>
      <c r="V29" s="33"/>
      <c r="AD29" s="33"/>
      <c r="AE29" s="33"/>
      <c r="AF29" s="33">
        <v>28</v>
      </c>
      <c r="AG29" s="33">
        <f t="shared" si="1"/>
        <v>46201</v>
      </c>
      <c r="AH29" s="33">
        <f ca="1">IF(OR(AF29&gt;$AD$4,AF29&gt;$AD$3),NA(),SUMIFS(JuneTable[Jumlah (Rp)],JuneTable[Tipe],"Pengeluaran",JuneTable[Tanggal],"&lt;="&amp;AG29))</f>
        <v>0</v>
      </c>
      <c r="AI29" s="33">
        <f>IF(AF29&gt;$AD$4,NA(),Rekap!$B$19/$AD$4*AF29)</f>
        <v>221433.33333333331</v>
      </c>
      <c r="AJ29" s="33"/>
      <c r="AK29" s="33"/>
      <c r="AL29" s="33"/>
      <c r="AM29" s="33"/>
      <c r="AN29" s="33"/>
      <c r="AO29" s="33"/>
    </row>
    <row r="30" spans="1:41" ht="24.75" customHeight="1" x14ac:dyDescent="0.25">
      <c r="A30" s="5"/>
      <c r="B30" s="3"/>
      <c r="C30" s="3"/>
      <c r="D30" s="3"/>
      <c r="E30" s="6"/>
      <c r="F30" s="4"/>
      <c r="K30" s="54" t="s">
        <v>91</v>
      </c>
      <c r="L30" s="53"/>
      <c r="M30" s="37">
        <f>Rekap!$B$19</f>
        <v>237250</v>
      </c>
      <c r="N30" s="33"/>
      <c r="O30" s="33"/>
      <c r="P30" s="33"/>
      <c r="Q30" s="33"/>
      <c r="R30" s="33"/>
      <c r="S30" s="33"/>
      <c r="T30" s="33"/>
      <c r="U30" s="33"/>
      <c r="V30" s="33"/>
      <c r="AD30" s="33"/>
      <c r="AE30" s="33"/>
      <c r="AF30" s="33">
        <v>29</v>
      </c>
      <c r="AG30" s="33">
        <f t="shared" si="1"/>
        <v>46202</v>
      </c>
      <c r="AH30" s="33">
        <f ca="1">IF(OR(AF30&gt;$AD$4,AF30&gt;$AD$3),NA(),SUMIFS(JuneTable[Jumlah (Rp)],JuneTable[Tipe],"Pengeluaran",JuneTable[Tanggal],"&lt;="&amp;AG30))</f>
        <v>0</v>
      </c>
      <c r="AI30" s="33">
        <f>IF(AF30&gt;$AD$4,NA(),Rekap!$B$19/$AD$4*AF30)</f>
        <v>229341.66666666666</v>
      </c>
      <c r="AJ30" s="33"/>
      <c r="AK30" s="33"/>
      <c r="AL30" s="33"/>
      <c r="AM30" s="33"/>
      <c r="AN30" s="33"/>
      <c r="AO30" s="33"/>
    </row>
    <row r="31" spans="1:41" ht="24.75" customHeight="1" x14ac:dyDescent="0.25">
      <c r="A31" s="5"/>
      <c r="B31" s="3"/>
      <c r="C31" s="3"/>
      <c r="D31" s="3"/>
      <c r="E31" s="6"/>
      <c r="F31" s="4"/>
      <c r="K31" s="54" t="s">
        <v>93</v>
      </c>
      <c r="L31" s="53"/>
      <c r="M31" s="37">
        <f>SUM(Master!$C$5:$C$81)</f>
        <v>30000000</v>
      </c>
      <c r="N31" s="33"/>
      <c r="O31" s="33"/>
      <c r="P31" s="33"/>
      <c r="Q31" s="33"/>
      <c r="R31" s="33"/>
      <c r="S31" s="33"/>
      <c r="T31" s="33"/>
      <c r="U31" s="33"/>
      <c r="V31" s="33"/>
      <c r="AD31" s="33"/>
      <c r="AE31" s="33"/>
      <c r="AF31" s="33">
        <v>30</v>
      </c>
      <c r="AG31" s="33">
        <f t="shared" si="1"/>
        <v>46203</v>
      </c>
      <c r="AH31" s="33">
        <f ca="1">IF(OR(AF31&gt;$AD$4,AF31&gt;$AD$3),NA(),SUMIFS(JuneTable[Jumlah (Rp)],JuneTable[Tipe],"Pengeluaran",JuneTable[Tanggal],"&lt;="&amp;AG31))</f>
        <v>0</v>
      </c>
      <c r="AI31" s="33">
        <f>IF(AF31&gt;$AD$4,NA(),Rekap!$B$19/$AD$4*AF31)</f>
        <v>237250</v>
      </c>
      <c r="AJ31" s="33"/>
      <c r="AK31" s="33"/>
      <c r="AL31" s="33"/>
      <c r="AM31" s="33"/>
      <c r="AN31" s="33"/>
      <c r="AO31" s="33"/>
    </row>
    <row r="32" spans="1:41" ht="24.75" customHeight="1" x14ac:dyDescent="0.25">
      <c r="A32" s="5"/>
      <c r="B32" s="3"/>
      <c r="C32" s="3"/>
      <c r="D32" s="3"/>
      <c r="E32" s="6"/>
      <c r="F32" s="4"/>
      <c r="K32" s="52" t="s">
        <v>58</v>
      </c>
      <c r="L32" s="53"/>
      <c r="M32" s="40" t="str">
        <f ca="1">IF(M25=0,"belum mulai",IF(M29&gt;M30,"di atas kebiasaan","di bawah kebiasaan"))</f>
        <v>di bawah kebiasaan</v>
      </c>
      <c r="N32" s="33"/>
      <c r="O32" s="33"/>
      <c r="P32" s="33"/>
      <c r="Q32" s="33"/>
      <c r="R32" s="33"/>
      <c r="S32" s="33"/>
      <c r="T32" s="33"/>
      <c r="U32" s="33"/>
      <c r="V32" s="33"/>
      <c r="AD32" s="33"/>
      <c r="AE32" s="33"/>
      <c r="AF32" s="33">
        <v>31</v>
      </c>
      <c r="AG32" s="33">
        <f t="shared" si="1"/>
        <v>46204</v>
      </c>
      <c r="AH32" s="33" t="e">
        <f ca="1">IF(OR(AF32&gt;$AD$4,AF32&gt;$AD$3),NA(),SUMIFS(JuneTable[Jumlah (Rp)],JuneTable[Tipe],"Pengeluaran",JuneTable[Tanggal],"&lt;="&amp;AG32))</f>
        <v>#N/A</v>
      </c>
      <c r="AI32" s="33" t="e">
        <f>IF(AF32&gt;$AD$4,NA(),Rekap!$B$19/$AD$4*AF32)</f>
        <v>#N/A</v>
      </c>
      <c r="AJ32" s="33"/>
      <c r="AK32" s="33"/>
      <c r="AL32" s="33"/>
      <c r="AM32" s="33"/>
      <c r="AN32" s="33"/>
      <c r="AO32" s="33"/>
    </row>
    <row r="33" spans="1:41" ht="24.75" customHeight="1" x14ac:dyDescent="0.25">
      <c r="A33" s="5"/>
      <c r="B33" s="3"/>
      <c r="C33" s="3"/>
      <c r="D33" s="3"/>
      <c r="E33" s="6"/>
      <c r="F33" s="4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</row>
    <row r="34" spans="1:41" ht="24.75" customHeight="1" x14ac:dyDescent="0.25">
      <c r="A34" s="5"/>
      <c r="B34" s="3"/>
      <c r="C34" s="3"/>
      <c r="D34" s="3"/>
      <c r="E34" s="6"/>
      <c r="F34" s="4"/>
      <c r="K34" s="32" t="s">
        <v>94</v>
      </c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</row>
    <row r="35" spans="1:41" ht="24.75" customHeight="1" x14ac:dyDescent="0.25">
      <c r="A35" s="5"/>
      <c r="B35" s="3"/>
      <c r="C35" s="3"/>
      <c r="D35" s="3"/>
      <c r="E35" s="6"/>
      <c r="F35" s="4"/>
      <c r="K35" s="34" t="s">
        <v>43</v>
      </c>
      <c r="L35" s="34" t="s">
        <v>37</v>
      </c>
      <c r="M35" s="34" t="s">
        <v>44</v>
      </c>
      <c r="N35" s="33"/>
      <c r="O35" s="33"/>
      <c r="P35" s="33"/>
      <c r="Q35" s="33"/>
      <c r="R35" s="33"/>
      <c r="S35" s="33"/>
      <c r="T35" s="33"/>
      <c r="U35" s="33"/>
      <c r="V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</row>
    <row r="36" spans="1:41" ht="24.75" customHeight="1" x14ac:dyDescent="0.25">
      <c r="A36" s="5"/>
      <c r="B36" s="3"/>
      <c r="C36" s="3"/>
      <c r="D36" s="3"/>
      <c r="E36" s="6"/>
      <c r="F36" s="4"/>
      <c r="K36" s="35" t="str">
        <f>Master!$G$5</f>
        <v>Tunai Uji</v>
      </c>
      <c r="L36" s="37">
        <f>SUMIFS(JuneTable[Jumlah (Rp)],JuneTable[Tipe],"Pengeluaran",JuneTable[Pembayaran],K36)</f>
        <v>0</v>
      </c>
      <c r="M36" s="48">
        <f t="shared" ref="M36:M44" si="2">IFERROR(L36/$D$3,0)</f>
        <v>0</v>
      </c>
      <c r="N36" s="33"/>
      <c r="O36" s="33"/>
      <c r="P36" s="33"/>
      <c r="Q36" s="33"/>
      <c r="R36" s="33"/>
      <c r="S36" s="33"/>
      <c r="T36" s="33"/>
      <c r="U36" s="33"/>
      <c r="V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</row>
    <row r="37" spans="1:41" ht="24.75" customHeight="1" x14ac:dyDescent="0.25">
      <c r="A37" s="5"/>
      <c r="B37" s="3"/>
      <c r="C37" s="3"/>
      <c r="D37" s="3"/>
      <c r="E37" s="6"/>
      <c r="F37" s="4"/>
      <c r="K37" s="35" t="str">
        <f>Master!$G$6</f>
        <v>Bank Uji</v>
      </c>
      <c r="L37" s="37">
        <f>SUMIFS(JuneTable[Jumlah (Rp)],JuneTable[Tipe],"Pengeluaran",JuneTable[Pembayaran],K37)</f>
        <v>0</v>
      </c>
      <c r="M37" s="48">
        <f t="shared" si="2"/>
        <v>0</v>
      </c>
      <c r="N37" s="33"/>
      <c r="O37" s="33"/>
      <c r="P37" s="33"/>
      <c r="Q37" s="33"/>
      <c r="R37" s="33"/>
      <c r="S37" s="33"/>
      <c r="T37" s="33"/>
      <c r="U37" s="33"/>
      <c r="V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</row>
    <row r="38" spans="1:41" ht="24.75" customHeight="1" x14ac:dyDescent="0.25">
      <c r="A38" s="5"/>
      <c r="B38" s="3"/>
      <c r="C38" s="3"/>
      <c r="D38" s="3"/>
      <c r="E38" s="6"/>
      <c r="F38" s="4"/>
      <c r="K38" s="35" t="str">
        <f>Master!$G$7</f>
        <v>Dompet Uji</v>
      </c>
      <c r="L38" s="37">
        <f>SUMIFS(JuneTable[Jumlah (Rp)],JuneTable[Tipe],"Pengeluaran",JuneTable[Pembayaran],K38)</f>
        <v>0</v>
      </c>
      <c r="M38" s="48">
        <f t="shared" si="2"/>
        <v>0</v>
      </c>
      <c r="N38" s="33"/>
      <c r="O38" s="33"/>
      <c r="P38" s="33"/>
      <c r="Q38" s="33"/>
      <c r="R38" s="33"/>
      <c r="S38" s="33"/>
      <c r="T38" s="33"/>
      <c r="U38" s="33"/>
      <c r="V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</row>
    <row r="39" spans="1:41" ht="24.75" customHeight="1" x14ac:dyDescent="0.25">
      <c r="A39" s="5"/>
      <c r="B39" s="3"/>
      <c r="C39" s="3"/>
      <c r="D39" s="3"/>
      <c r="E39" s="6"/>
      <c r="F39" s="4"/>
      <c r="K39" s="35" t="str">
        <f>Master!$G$8</f>
        <v>Kartu Uji</v>
      </c>
      <c r="L39" s="37">
        <f>SUMIFS(JuneTable[Jumlah (Rp)],JuneTable[Tipe],"Pengeluaran",JuneTable[Pembayaran],K39)</f>
        <v>0</v>
      </c>
      <c r="M39" s="48">
        <f t="shared" si="2"/>
        <v>0</v>
      </c>
      <c r="N39" s="33"/>
      <c r="O39" s="33"/>
      <c r="P39" s="33"/>
      <c r="Q39" s="33"/>
      <c r="R39" s="33"/>
      <c r="S39" s="33"/>
      <c r="T39" s="33"/>
      <c r="U39" s="33"/>
      <c r="V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</row>
    <row r="40" spans="1:41" ht="24.75" customHeight="1" x14ac:dyDescent="0.25">
      <c r="A40" s="5"/>
      <c r="B40" s="3"/>
      <c r="C40" s="3"/>
      <c r="D40" s="3"/>
      <c r="E40" s="6"/>
      <c r="F40" s="4"/>
      <c r="K40" s="35" t="str">
        <f>Master!$G$9</f>
        <v>Transfer Uji</v>
      </c>
      <c r="L40" s="37">
        <f>SUMIFS(JuneTable[Jumlah (Rp)],JuneTable[Tipe],"Pengeluaran",JuneTable[Pembayaran],K40)</f>
        <v>0</v>
      </c>
      <c r="M40" s="48">
        <f t="shared" si="2"/>
        <v>0</v>
      </c>
      <c r="N40" s="33"/>
      <c r="O40" s="33"/>
      <c r="P40" s="33"/>
      <c r="Q40" s="33"/>
      <c r="R40" s="33"/>
      <c r="S40" s="33"/>
      <c r="T40" s="33"/>
      <c r="U40" s="33"/>
      <c r="V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</row>
    <row r="41" spans="1:41" ht="24.75" customHeight="1" x14ac:dyDescent="0.25">
      <c r="A41" s="5"/>
      <c r="B41" s="3"/>
      <c r="C41" s="3"/>
      <c r="D41" s="3"/>
      <c r="E41" s="6"/>
      <c r="F41" s="4"/>
      <c r="K41" s="35" t="str">
        <f>Master!$G$10</f>
        <v>Voucher Uji</v>
      </c>
      <c r="L41" s="37">
        <f>SUMIFS(JuneTable[Jumlah (Rp)],JuneTable[Tipe],"Pengeluaran",JuneTable[Pembayaran],K41)</f>
        <v>0</v>
      </c>
      <c r="M41" s="48">
        <f t="shared" si="2"/>
        <v>0</v>
      </c>
      <c r="N41" s="33"/>
      <c r="O41" s="33"/>
      <c r="P41" s="33"/>
      <c r="Q41" s="33"/>
      <c r="R41" s="33"/>
      <c r="S41" s="33"/>
      <c r="T41" s="33"/>
      <c r="U41" s="33"/>
      <c r="V41" s="33"/>
    </row>
    <row r="42" spans="1:41" ht="24.75" customHeight="1" x14ac:dyDescent="0.25">
      <c r="A42" s="5"/>
      <c r="B42" s="3"/>
      <c r="C42" s="3"/>
      <c r="D42" s="3"/>
      <c r="E42" s="6"/>
      <c r="F42" s="4"/>
      <c r="K42" s="35" t="str">
        <f>Master!$G$11</f>
        <v>Cicilan Uji</v>
      </c>
      <c r="L42" s="37">
        <f>SUMIFS(JuneTable[Jumlah (Rp)],JuneTable[Tipe],"Pengeluaran",JuneTable[Pembayaran],K42)</f>
        <v>0</v>
      </c>
      <c r="M42" s="48">
        <f t="shared" si="2"/>
        <v>0</v>
      </c>
      <c r="N42" s="33"/>
      <c r="O42" s="33"/>
      <c r="P42" s="33"/>
      <c r="Q42" s="33"/>
      <c r="R42" s="33"/>
      <c r="S42" s="33"/>
      <c r="T42" s="33"/>
      <c r="U42" s="33"/>
      <c r="V42" s="33"/>
    </row>
    <row r="43" spans="1:41" ht="24.75" customHeight="1" x14ac:dyDescent="0.25">
      <c r="A43" s="5"/>
      <c r="B43" s="3"/>
      <c r="C43" s="3"/>
      <c r="D43" s="3"/>
      <c r="E43" s="6"/>
      <c r="F43" s="4"/>
      <c r="K43" s="35" t="str">
        <f>Master!$G$12</f>
        <v>Lainnya Uji</v>
      </c>
      <c r="L43" s="37">
        <f>SUMIFS(JuneTable[Jumlah (Rp)],JuneTable[Tipe],"Pengeluaran",JuneTable[Pembayaran],K43)</f>
        <v>0</v>
      </c>
      <c r="M43" s="48">
        <f t="shared" si="2"/>
        <v>0</v>
      </c>
      <c r="N43" s="33"/>
      <c r="O43" s="33"/>
      <c r="P43" s="33"/>
      <c r="Q43" s="33"/>
      <c r="R43" s="33"/>
      <c r="S43" s="33"/>
      <c r="T43" s="33"/>
      <c r="U43" s="33"/>
      <c r="V43" s="33"/>
    </row>
    <row r="44" spans="1:41" ht="24.75" customHeight="1" x14ac:dyDescent="0.25">
      <c r="A44" s="5"/>
      <c r="B44" s="3"/>
      <c r="C44" s="3"/>
      <c r="D44" s="3"/>
      <c r="E44" s="6"/>
      <c r="F44" s="4"/>
      <c r="K44" s="40" t="s">
        <v>21</v>
      </c>
      <c r="L44" s="42">
        <f>SUM(L36:L43)</f>
        <v>0</v>
      </c>
      <c r="M44" s="44">
        <f t="shared" si="2"/>
        <v>0</v>
      </c>
      <c r="N44" s="33"/>
      <c r="O44" s="33"/>
      <c r="P44" s="33"/>
      <c r="Q44" s="33"/>
      <c r="R44" s="33"/>
      <c r="S44" s="33"/>
      <c r="T44" s="33"/>
      <c r="U44" s="33"/>
      <c r="V44" s="33"/>
    </row>
    <row r="45" spans="1:41" ht="24.75" customHeight="1" x14ac:dyDescent="0.25">
      <c r="A45" s="5"/>
      <c r="B45" s="3"/>
      <c r="C45" s="3"/>
      <c r="D45" s="3"/>
      <c r="E45" s="6"/>
      <c r="F45" s="4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</row>
    <row r="46" spans="1:41" ht="24.75" customHeight="1" x14ac:dyDescent="0.25">
      <c r="A46" s="5"/>
      <c r="B46" s="3"/>
      <c r="C46" s="3"/>
      <c r="D46" s="3"/>
      <c r="E46" s="6"/>
      <c r="F46" s="4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</row>
    <row r="47" spans="1:41" ht="24.75" customHeight="1" x14ac:dyDescent="0.25">
      <c r="A47" s="5"/>
      <c r="B47" s="3"/>
      <c r="C47" s="3"/>
      <c r="D47" s="3"/>
      <c r="E47" s="6"/>
      <c r="F47" s="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</row>
    <row r="48" spans="1:41" ht="24.75" customHeight="1" x14ac:dyDescent="0.25">
      <c r="A48" s="5"/>
      <c r="B48" s="3"/>
      <c r="C48" s="3"/>
      <c r="D48" s="3"/>
      <c r="E48" s="6"/>
      <c r="F48" s="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</row>
    <row r="49" spans="1:22" ht="24.75" customHeight="1" x14ac:dyDescent="0.25">
      <c r="A49" s="5"/>
      <c r="B49" s="3"/>
      <c r="C49" s="3"/>
      <c r="D49" s="3"/>
      <c r="E49" s="6"/>
      <c r="F49" s="4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ht="24.75" customHeight="1" x14ac:dyDescent="0.25">
      <c r="A50" s="5"/>
      <c r="B50" s="3"/>
      <c r="C50" s="3"/>
      <c r="D50" s="3"/>
      <c r="E50" s="6"/>
      <c r="F50" s="4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</row>
    <row r="51" spans="1:22" ht="24.75" customHeight="1" x14ac:dyDescent="0.25">
      <c r="A51" s="5"/>
      <c r="B51" s="3"/>
      <c r="C51" s="3"/>
      <c r="D51" s="3"/>
      <c r="E51" s="6"/>
      <c r="F51" s="4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</row>
    <row r="52" spans="1:22" ht="24.75" customHeight="1" x14ac:dyDescent="0.25">
      <c r="A52" s="5"/>
      <c r="B52" s="3"/>
      <c r="C52" s="3"/>
      <c r="D52" s="3"/>
      <c r="E52" s="6"/>
      <c r="F52" s="4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</row>
    <row r="53" spans="1:22" ht="24.75" customHeight="1" x14ac:dyDescent="0.25">
      <c r="A53" s="5"/>
      <c r="B53" s="3"/>
      <c r="C53" s="3"/>
      <c r="D53" s="3"/>
      <c r="E53" s="6"/>
      <c r="F53" s="4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</row>
    <row r="54" spans="1:22" ht="24.75" customHeight="1" x14ac:dyDescent="0.25">
      <c r="A54" s="5"/>
      <c r="B54" s="3"/>
      <c r="C54" s="3"/>
      <c r="D54" s="3"/>
      <c r="E54" s="6"/>
      <c r="F54" s="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</row>
    <row r="55" spans="1:22" ht="24.75" customHeight="1" x14ac:dyDescent="0.25">
      <c r="A55" s="5"/>
      <c r="B55" s="3"/>
      <c r="C55" s="3"/>
      <c r="D55" s="3"/>
      <c r="E55" s="6"/>
      <c r="F55" s="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</row>
    <row r="56" spans="1:22" ht="24.75" customHeight="1" x14ac:dyDescent="0.25">
      <c r="A56" s="5"/>
      <c r="B56" s="3"/>
      <c r="C56" s="3"/>
      <c r="D56" s="3"/>
      <c r="E56" s="6"/>
      <c r="F56" s="4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</row>
    <row r="57" spans="1:22" ht="24.75" customHeight="1" x14ac:dyDescent="0.25">
      <c r="A57" s="5"/>
      <c r="B57" s="3"/>
      <c r="C57" s="3"/>
      <c r="D57" s="3"/>
      <c r="E57" s="6"/>
      <c r="F57" s="4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</row>
    <row r="58" spans="1:22" ht="24.75" customHeight="1" x14ac:dyDescent="0.25">
      <c r="A58" s="5"/>
      <c r="B58" s="3"/>
      <c r="C58" s="3"/>
      <c r="D58" s="3"/>
      <c r="E58" s="6"/>
      <c r="F58" s="4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</row>
    <row r="59" spans="1:22" ht="24.75" customHeight="1" x14ac:dyDescent="0.25">
      <c r="A59" s="5"/>
      <c r="B59" s="3"/>
      <c r="C59" s="3"/>
      <c r="D59" s="3"/>
      <c r="E59" s="6"/>
      <c r="F59" s="4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</row>
    <row r="60" spans="1:22" ht="24.75" customHeight="1" x14ac:dyDescent="0.25">
      <c r="A60" s="5"/>
      <c r="B60" s="3"/>
      <c r="C60" s="3"/>
      <c r="D60" s="3"/>
      <c r="E60" s="6"/>
      <c r="F60" s="4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</row>
    <row r="61" spans="1:22" ht="24.75" customHeight="1" x14ac:dyDescent="0.25">
      <c r="A61" s="5"/>
      <c r="B61" s="3"/>
      <c r="C61" s="3"/>
      <c r="D61" s="3"/>
      <c r="E61" s="6"/>
      <c r="F61" s="4"/>
    </row>
    <row r="62" spans="1:22" ht="24.75" customHeight="1" x14ac:dyDescent="0.25">
      <c r="A62" s="5"/>
      <c r="B62" s="3"/>
      <c r="C62" s="3"/>
      <c r="D62" s="3"/>
      <c r="E62" s="6"/>
      <c r="F62" s="4"/>
    </row>
    <row r="63" spans="1:22" ht="24.75" customHeight="1" x14ac:dyDescent="0.25">
      <c r="A63" s="5"/>
      <c r="B63" s="3"/>
      <c r="C63" s="3"/>
      <c r="D63" s="3"/>
      <c r="E63" s="6"/>
      <c r="F63" s="4"/>
    </row>
    <row r="64" spans="1:22" ht="24.75" customHeight="1" x14ac:dyDescent="0.25">
      <c r="A64" s="5"/>
      <c r="B64" s="3"/>
      <c r="C64" s="3"/>
      <c r="D64" s="3"/>
      <c r="E64" s="6"/>
      <c r="F64" s="4"/>
    </row>
    <row r="65" spans="1:6" ht="24.75" customHeight="1" x14ac:dyDescent="0.25">
      <c r="A65" s="5"/>
      <c r="B65" s="3"/>
      <c r="C65" s="3"/>
      <c r="D65" s="3"/>
      <c r="E65" s="6"/>
      <c r="F65" s="4"/>
    </row>
    <row r="66" spans="1:6" ht="24.75" customHeight="1" x14ac:dyDescent="0.25">
      <c r="A66" s="5"/>
      <c r="B66" s="3"/>
      <c r="C66" s="3"/>
      <c r="D66" s="3"/>
      <c r="E66" s="6"/>
      <c r="F66" s="4"/>
    </row>
    <row r="67" spans="1:6" ht="24.75" customHeight="1" x14ac:dyDescent="0.25">
      <c r="A67" s="5"/>
      <c r="B67" s="3"/>
      <c r="C67" s="3"/>
      <c r="D67" s="3"/>
      <c r="E67" s="6"/>
      <c r="F67" s="4"/>
    </row>
    <row r="68" spans="1:6" ht="24.75" customHeight="1" x14ac:dyDescent="0.25">
      <c r="A68" s="5"/>
      <c r="B68" s="3"/>
      <c r="C68" s="3"/>
      <c r="D68" s="3"/>
      <c r="E68" s="6"/>
      <c r="F68" s="4"/>
    </row>
    <row r="69" spans="1:6" ht="24.75" customHeight="1" x14ac:dyDescent="0.25">
      <c r="A69" s="5"/>
      <c r="B69" s="3"/>
      <c r="C69" s="3"/>
      <c r="D69" s="3"/>
      <c r="E69" s="6"/>
      <c r="F69" s="4"/>
    </row>
    <row r="70" spans="1:6" ht="24.75" customHeight="1" x14ac:dyDescent="0.25">
      <c r="A70" s="5"/>
      <c r="B70" s="3"/>
      <c r="C70" s="3"/>
      <c r="D70" s="3"/>
      <c r="E70" s="6"/>
      <c r="F70" s="4"/>
    </row>
    <row r="71" spans="1:6" ht="24.75" customHeight="1" x14ac:dyDescent="0.25">
      <c r="A71" s="5"/>
      <c r="B71" s="3"/>
      <c r="C71" s="3"/>
      <c r="D71" s="3"/>
      <c r="E71" s="6"/>
      <c r="F71" s="4"/>
    </row>
    <row r="72" spans="1:6" ht="24.75" customHeight="1" x14ac:dyDescent="0.25">
      <c r="A72" s="5"/>
      <c r="B72" s="3"/>
      <c r="C72" s="3"/>
      <c r="D72" s="3"/>
      <c r="E72" s="6"/>
      <c r="F72" s="4"/>
    </row>
    <row r="73" spans="1:6" ht="24.75" customHeight="1" x14ac:dyDescent="0.25">
      <c r="A73" s="5"/>
      <c r="B73" s="3"/>
      <c r="C73" s="3"/>
      <c r="D73" s="3"/>
      <c r="E73" s="6"/>
      <c r="F73" s="4"/>
    </row>
    <row r="74" spans="1:6" ht="24.75" customHeight="1" x14ac:dyDescent="0.25">
      <c r="A74" s="5"/>
      <c r="B74" s="3"/>
      <c r="C74" s="3"/>
      <c r="D74" s="3"/>
      <c r="E74" s="6"/>
      <c r="F74" s="4"/>
    </row>
    <row r="75" spans="1:6" ht="24.75" customHeight="1" x14ac:dyDescent="0.25">
      <c r="A75" s="5"/>
      <c r="B75" s="3"/>
      <c r="C75" s="3"/>
      <c r="D75" s="3"/>
      <c r="E75" s="6"/>
      <c r="F75" s="4"/>
    </row>
    <row r="76" spans="1:6" ht="24.75" customHeight="1" x14ac:dyDescent="0.25">
      <c r="A76" s="5"/>
      <c r="B76" s="3"/>
      <c r="C76" s="3"/>
      <c r="D76" s="3"/>
      <c r="E76" s="6"/>
      <c r="F76" s="4"/>
    </row>
    <row r="77" spans="1:6" ht="24.75" customHeight="1" x14ac:dyDescent="0.25">
      <c r="A77" s="5"/>
      <c r="B77" s="3"/>
      <c r="C77" s="3"/>
      <c r="D77" s="3"/>
      <c r="E77" s="6"/>
      <c r="F77" s="4"/>
    </row>
    <row r="78" spans="1:6" ht="24.75" customHeight="1" x14ac:dyDescent="0.25">
      <c r="A78" s="5"/>
      <c r="B78" s="3"/>
      <c r="C78" s="3"/>
      <c r="D78" s="3"/>
      <c r="E78" s="6"/>
      <c r="F78" s="4"/>
    </row>
    <row r="79" spans="1:6" ht="24.75" customHeight="1" x14ac:dyDescent="0.25">
      <c r="A79" s="5"/>
      <c r="B79" s="3"/>
      <c r="C79" s="3"/>
      <c r="D79" s="3"/>
      <c r="E79" s="6"/>
      <c r="F79" s="4"/>
    </row>
    <row r="80" spans="1:6" ht="24.75" customHeight="1" x14ac:dyDescent="0.25">
      <c r="A80" s="5"/>
      <c r="B80" s="3"/>
      <c r="C80" s="3"/>
      <c r="D80" s="3"/>
      <c r="E80" s="6"/>
      <c r="F80" s="4"/>
    </row>
    <row r="81" spans="1:6" ht="24.75" customHeight="1" x14ac:dyDescent="0.25">
      <c r="A81" s="5"/>
      <c r="B81" s="3"/>
      <c r="C81" s="3"/>
      <c r="D81" s="3"/>
      <c r="E81" s="6"/>
      <c r="F81" s="4"/>
    </row>
    <row r="82" spans="1:6" ht="24.75" customHeight="1" x14ac:dyDescent="0.25">
      <c r="A82" s="5"/>
      <c r="B82" s="3"/>
      <c r="C82" s="3"/>
      <c r="D82" s="3"/>
      <c r="E82" s="6"/>
      <c r="F82" s="4"/>
    </row>
    <row r="83" spans="1:6" ht="24.75" customHeight="1" x14ac:dyDescent="0.25">
      <c r="A83" s="5"/>
      <c r="B83" s="3"/>
      <c r="C83" s="3"/>
      <c r="D83" s="3"/>
      <c r="E83" s="6"/>
      <c r="F83" s="4"/>
    </row>
    <row r="84" spans="1:6" ht="24.75" customHeight="1" x14ac:dyDescent="0.25">
      <c r="A84" s="5"/>
      <c r="B84" s="3"/>
      <c r="C84" s="3"/>
      <c r="D84" s="3"/>
      <c r="E84" s="6"/>
      <c r="F84" s="4"/>
    </row>
    <row r="85" spans="1:6" ht="24.75" customHeight="1" x14ac:dyDescent="0.25">
      <c r="A85" s="5"/>
      <c r="B85" s="3"/>
      <c r="C85" s="3"/>
      <c r="D85" s="3"/>
      <c r="E85" s="6"/>
      <c r="F85" s="4"/>
    </row>
    <row r="86" spans="1:6" ht="24.75" customHeight="1" x14ac:dyDescent="0.25">
      <c r="A86" s="5"/>
      <c r="B86" s="3"/>
      <c r="C86" s="3"/>
      <c r="D86" s="3"/>
      <c r="E86" s="6"/>
      <c r="F86" s="4"/>
    </row>
    <row r="87" spans="1:6" ht="24.75" customHeight="1" x14ac:dyDescent="0.25">
      <c r="A87" s="5"/>
      <c r="B87" s="3"/>
      <c r="C87" s="3"/>
      <c r="D87" s="3"/>
      <c r="E87" s="6"/>
      <c r="F87" s="4"/>
    </row>
    <row r="88" spans="1:6" ht="24.75" customHeight="1" x14ac:dyDescent="0.25">
      <c r="A88" s="5"/>
      <c r="B88" s="3"/>
      <c r="C88" s="3"/>
      <c r="D88" s="3"/>
      <c r="E88" s="6"/>
      <c r="F88" s="4"/>
    </row>
    <row r="89" spans="1:6" ht="24.75" customHeight="1" x14ac:dyDescent="0.25">
      <c r="A89" s="5"/>
      <c r="B89" s="3"/>
      <c r="C89" s="3"/>
      <c r="D89" s="3"/>
      <c r="E89" s="6"/>
      <c r="F89" s="4"/>
    </row>
    <row r="90" spans="1:6" ht="24.75" customHeight="1" x14ac:dyDescent="0.25">
      <c r="A90" s="5"/>
      <c r="B90" s="3"/>
      <c r="C90" s="3"/>
      <c r="D90" s="3"/>
      <c r="E90" s="6"/>
      <c r="F90" s="4"/>
    </row>
    <row r="91" spans="1:6" ht="24.75" customHeight="1" x14ac:dyDescent="0.25">
      <c r="A91" s="5"/>
      <c r="B91" s="3"/>
      <c r="C91" s="3"/>
      <c r="D91" s="3"/>
      <c r="E91" s="6"/>
      <c r="F91" s="4"/>
    </row>
    <row r="92" spans="1:6" ht="24.75" customHeight="1" x14ac:dyDescent="0.25">
      <c r="A92" s="5"/>
      <c r="B92" s="3"/>
      <c r="C92" s="3"/>
      <c r="D92" s="3"/>
      <c r="E92" s="6"/>
      <c r="F92" s="4"/>
    </row>
    <row r="93" spans="1:6" ht="24.75" customHeight="1" x14ac:dyDescent="0.25">
      <c r="A93" s="5"/>
      <c r="B93" s="3"/>
      <c r="C93" s="3"/>
      <c r="D93" s="3"/>
      <c r="E93" s="6"/>
      <c r="F93" s="4"/>
    </row>
    <row r="94" spans="1:6" ht="24.75" customHeight="1" x14ac:dyDescent="0.25">
      <c r="A94" s="5"/>
      <c r="B94" s="3"/>
      <c r="C94" s="3"/>
      <c r="D94" s="3"/>
      <c r="E94" s="6"/>
      <c r="F94" s="4"/>
    </row>
    <row r="95" spans="1:6" ht="24.75" customHeight="1" x14ac:dyDescent="0.25">
      <c r="A95" s="5"/>
      <c r="B95" s="3"/>
      <c r="C95" s="3"/>
      <c r="D95" s="3"/>
      <c r="E95" s="6"/>
      <c r="F95" s="4"/>
    </row>
    <row r="96" spans="1:6" ht="24.75" customHeight="1" x14ac:dyDescent="0.25">
      <c r="A96" s="5"/>
      <c r="B96" s="3"/>
      <c r="C96" s="3"/>
      <c r="D96" s="3"/>
      <c r="E96" s="6"/>
      <c r="F96" s="4"/>
    </row>
    <row r="97" spans="1:6" ht="24.75" customHeight="1" x14ac:dyDescent="0.25">
      <c r="A97" s="5"/>
      <c r="B97" s="3"/>
      <c r="C97" s="3"/>
      <c r="D97" s="3"/>
      <c r="E97" s="6"/>
      <c r="F97" s="4"/>
    </row>
    <row r="98" spans="1:6" ht="24.75" customHeight="1" x14ac:dyDescent="0.25">
      <c r="A98" s="5"/>
      <c r="B98" s="3"/>
      <c r="C98" s="3"/>
      <c r="D98" s="3"/>
      <c r="E98" s="6"/>
      <c r="F98" s="4"/>
    </row>
    <row r="99" spans="1:6" ht="24.75" customHeight="1" x14ac:dyDescent="0.25">
      <c r="A99" s="5"/>
      <c r="B99" s="3"/>
      <c r="C99" s="3"/>
      <c r="D99" s="3"/>
      <c r="E99" s="6"/>
      <c r="F99" s="4"/>
    </row>
    <row r="100" spans="1:6" ht="24.75" customHeight="1" x14ac:dyDescent="0.25">
      <c r="A100" s="5"/>
      <c r="B100" s="3"/>
      <c r="C100" s="3"/>
      <c r="D100" s="3"/>
      <c r="E100" s="6"/>
      <c r="F100" s="4"/>
    </row>
    <row r="101" spans="1:6" ht="24.75" customHeight="1" x14ac:dyDescent="0.25">
      <c r="A101" s="5"/>
      <c r="B101" s="3"/>
      <c r="C101" s="3"/>
      <c r="D101" s="3"/>
      <c r="E101" s="6"/>
      <c r="F101" s="4"/>
    </row>
    <row r="102" spans="1:6" ht="24.75" customHeight="1" x14ac:dyDescent="0.25">
      <c r="A102" s="5"/>
      <c r="B102" s="3"/>
      <c r="C102" s="3"/>
      <c r="D102" s="3"/>
      <c r="E102" s="6"/>
      <c r="F102" s="4"/>
    </row>
    <row r="103" spans="1:6" ht="24.75" customHeight="1" x14ac:dyDescent="0.25">
      <c r="A103" s="5"/>
      <c r="B103" s="3"/>
      <c r="C103" s="3"/>
      <c r="D103" s="3"/>
      <c r="E103" s="6"/>
      <c r="F103" s="4"/>
    </row>
    <row r="104" spans="1:6" ht="24.75" customHeight="1" x14ac:dyDescent="0.25">
      <c r="A104" s="5"/>
      <c r="B104" s="3"/>
      <c r="C104" s="3"/>
      <c r="D104" s="3"/>
      <c r="E104" s="6"/>
      <c r="F104" s="4"/>
    </row>
    <row r="105" spans="1:6" ht="24.75" customHeight="1" x14ac:dyDescent="0.25">
      <c r="A105" s="5"/>
      <c r="B105" s="3"/>
      <c r="C105" s="3"/>
      <c r="D105" s="3"/>
      <c r="E105" s="6"/>
      <c r="F105" s="4"/>
    </row>
    <row r="106" spans="1:6" ht="24.75" customHeight="1" x14ac:dyDescent="0.25">
      <c r="A106" s="5"/>
      <c r="B106" s="3"/>
      <c r="C106" s="3"/>
      <c r="D106" s="3"/>
      <c r="E106" s="6"/>
      <c r="F106" s="4"/>
    </row>
    <row r="107" spans="1:6" ht="24.75" customHeight="1" x14ac:dyDescent="0.25">
      <c r="A107" s="5"/>
      <c r="B107" s="3"/>
      <c r="C107" s="3"/>
      <c r="D107" s="3"/>
      <c r="E107" s="6"/>
      <c r="F107" s="4"/>
    </row>
    <row r="108" spans="1:6" ht="24.75" customHeight="1" x14ac:dyDescent="0.25">
      <c r="A108" s="5"/>
      <c r="B108" s="3"/>
      <c r="C108" s="3"/>
      <c r="D108" s="3"/>
      <c r="E108" s="6"/>
      <c r="F108" s="4"/>
    </row>
    <row r="109" spans="1:6" ht="24.75" customHeight="1" x14ac:dyDescent="0.25">
      <c r="A109" s="5"/>
      <c r="B109" s="3"/>
      <c r="C109" s="3"/>
      <c r="D109" s="3"/>
      <c r="E109" s="6"/>
      <c r="F109" s="4"/>
    </row>
    <row r="110" spans="1:6" ht="24.75" customHeight="1" x14ac:dyDescent="0.25">
      <c r="A110" s="5"/>
      <c r="B110" s="3"/>
      <c r="C110" s="3"/>
      <c r="D110" s="3"/>
      <c r="E110" s="6"/>
      <c r="F110" s="4"/>
    </row>
    <row r="111" spans="1:6" ht="24.75" customHeight="1" x14ac:dyDescent="0.25">
      <c r="A111" s="5"/>
      <c r="B111" s="3"/>
      <c r="C111" s="3"/>
      <c r="D111" s="3"/>
      <c r="E111" s="6"/>
      <c r="F111" s="4"/>
    </row>
    <row r="112" spans="1:6" ht="24.75" customHeight="1" x14ac:dyDescent="0.25">
      <c r="A112" s="5"/>
      <c r="B112" s="3"/>
      <c r="C112" s="3"/>
      <c r="D112" s="3"/>
      <c r="E112" s="6"/>
      <c r="F112" s="4"/>
    </row>
    <row r="113" spans="1:6" ht="24.75" customHeight="1" x14ac:dyDescent="0.25">
      <c r="A113" s="5"/>
      <c r="B113" s="3"/>
      <c r="C113" s="3"/>
      <c r="D113" s="3"/>
      <c r="E113" s="6"/>
      <c r="F113" s="4"/>
    </row>
    <row r="114" spans="1:6" ht="24.75" customHeight="1" x14ac:dyDescent="0.25">
      <c r="A114" s="5"/>
      <c r="B114" s="3"/>
      <c r="C114" s="3"/>
      <c r="D114" s="3"/>
      <c r="E114" s="6"/>
      <c r="F114" s="4"/>
    </row>
    <row r="115" spans="1:6" ht="24.75" customHeight="1" x14ac:dyDescent="0.25">
      <c r="A115" s="5"/>
      <c r="B115" s="3"/>
      <c r="C115" s="3"/>
      <c r="D115" s="3"/>
      <c r="E115" s="6"/>
      <c r="F115" s="4"/>
    </row>
    <row r="116" spans="1:6" ht="24.75" customHeight="1" x14ac:dyDescent="0.25">
      <c r="A116" s="5"/>
      <c r="B116" s="3"/>
      <c r="C116" s="3"/>
      <c r="D116" s="3"/>
      <c r="E116" s="6"/>
      <c r="F116" s="4"/>
    </row>
    <row r="117" spans="1:6" ht="24.75" customHeight="1" x14ac:dyDescent="0.25">
      <c r="A117" s="5"/>
      <c r="B117" s="3"/>
      <c r="C117" s="3"/>
      <c r="D117" s="3"/>
      <c r="E117" s="6"/>
      <c r="F117" s="4"/>
    </row>
    <row r="118" spans="1:6" ht="24.75" customHeight="1" x14ac:dyDescent="0.25">
      <c r="A118" s="5"/>
      <c r="B118" s="3"/>
      <c r="C118" s="3"/>
      <c r="D118" s="3"/>
      <c r="E118" s="6"/>
      <c r="F118" s="4"/>
    </row>
    <row r="119" spans="1:6" ht="24.75" customHeight="1" x14ac:dyDescent="0.25">
      <c r="A119" s="5"/>
      <c r="B119" s="3"/>
      <c r="C119" s="3"/>
      <c r="D119" s="3"/>
      <c r="E119" s="6"/>
      <c r="F119" s="4"/>
    </row>
    <row r="120" spans="1:6" ht="24.75" customHeight="1" x14ac:dyDescent="0.25">
      <c r="A120" s="5"/>
      <c r="B120" s="3"/>
      <c r="C120" s="3"/>
      <c r="D120" s="3"/>
      <c r="E120" s="6"/>
      <c r="F120" s="4"/>
    </row>
    <row r="121" spans="1:6" ht="24.75" customHeight="1" x14ac:dyDescent="0.25">
      <c r="A121" s="5"/>
      <c r="B121" s="3"/>
      <c r="C121" s="3"/>
      <c r="D121" s="3"/>
      <c r="E121" s="6"/>
      <c r="F121" s="4"/>
    </row>
    <row r="122" spans="1:6" ht="24.75" customHeight="1" x14ac:dyDescent="0.25">
      <c r="A122" s="5"/>
      <c r="B122" s="3"/>
      <c r="C122" s="3"/>
      <c r="D122" s="3"/>
      <c r="E122" s="6"/>
      <c r="F122" s="4"/>
    </row>
    <row r="123" spans="1:6" ht="24.75" customHeight="1" x14ac:dyDescent="0.25">
      <c r="A123" s="5"/>
      <c r="B123" s="3"/>
      <c r="C123" s="3"/>
      <c r="D123" s="3"/>
      <c r="E123" s="6"/>
      <c r="F123" s="4"/>
    </row>
    <row r="124" spans="1:6" ht="24.75" customHeight="1" x14ac:dyDescent="0.25">
      <c r="A124" s="5"/>
      <c r="B124" s="3"/>
      <c r="C124" s="3"/>
      <c r="D124" s="3"/>
      <c r="E124" s="6"/>
      <c r="F124" s="4"/>
    </row>
  </sheetData>
  <mergeCells count="21">
    <mergeCell ref="K16:L16"/>
    <mergeCell ref="K30:L30"/>
    <mergeCell ref="K18:L18"/>
    <mergeCell ref="K25:L25"/>
    <mergeCell ref="K24:L24"/>
    <mergeCell ref="K32:L32"/>
    <mergeCell ref="K31:L31"/>
    <mergeCell ref="K27:L27"/>
    <mergeCell ref="R8:T8"/>
    <mergeCell ref="H13:I13"/>
    <mergeCell ref="K14:L14"/>
    <mergeCell ref="K17:L17"/>
    <mergeCell ref="K10:L10"/>
    <mergeCell ref="K28:L28"/>
    <mergeCell ref="K19:L19"/>
    <mergeCell ref="K15:L15"/>
    <mergeCell ref="K9:L9"/>
    <mergeCell ref="K26:L26"/>
    <mergeCell ref="K29:L29"/>
    <mergeCell ref="K11:L11"/>
    <mergeCell ref="K20:L20"/>
  </mergeCells>
  <conditionalFormatting sqref="M19">
    <cfRule type="cellIs" dxfId="103" priority="3" operator="lessThan">
      <formula>0</formula>
    </cfRule>
    <cfRule type="cellIs" dxfId="102" priority="4" operator="greaterThanOrEqual">
      <formula>0</formula>
    </cfRule>
  </conditionalFormatting>
  <conditionalFormatting sqref="M32">
    <cfRule type="cellIs" dxfId="101" priority="5" operator="equal">
      <formula>"di atas kebiasaan"</formula>
    </cfRule>
    <cfRule type="cellIs" dxfId="100" priority="6" operator="equal">
      <formula>"di bawah kebiasaan"</formula>
    </cfRule>
  </conditionalFormatting>
  <conditionalFormatting sqref="U12:U15">
    <cfRule type="cellIs" dxfId="99" priority="9" operator="greaterThan">
      <formula>0</formula>
    </cfRule>
    <cfRule type="cellIs" dxfId="98" priority="9" operator="lessThan">
      <formula>0</formula>
    </cfRule>
  </conditionalFormatting>
  <conditionalFormatting sqref="U19:U23">
    <cfRule type="cellIs" dxfId="97" priority="10" operator="greaterThan">
      <formula>0</formula>
    </cfRule>
    <cfRule type="cellIs" dxfId="96" priority="10" operator="lessThan">
      <formula>0</formula>
    </cfRule>
  </conditionalFormatting>
  <conditionalFormatting sqref="B6:B505">
    <cfRule type="expression" dxfId="95" priority="11" stopIfTrue="1">
      <formula>TRIM($B6)="Pengeluaran"</formula>
    </cfRule>
    <cfRule type="expression" dxfId="94" priority="12" stopIfTrue="1">
      <formula>TRIM($B6)="Pemasukan"</formula>
    </cfRule>
  </conditionalFormatting>
  <dataValidations count="3">
    <dataValidation type="list" errorStyle="warning" allowBlank="1" errorTitle="Di luar daftar" error="Nilai ini tidak ada di sheet Master. Tetap pakai?" sqref="B6:B505" xr:uid="{00000000-0002-0000-0600-000000000000}">
      <formula1>ListTipe</formula1>
    </dataValidation>
    <dataValidation type="list" errorStyle="warning" allowBlank="1" errorTitle="Di luar daftar" error="Nilai ini tidak ada di sheet Master. Tetap pakai?" sqref="C6:C505" xr:uid="{00000000-0002-0000-0600-000001000000}">
      <formula1>ListPembayaran</formula1>
    </dataValidation>
    <dataValidation type="list" errorStyle="warning" allowBlank="1" errorTitle="Di luar daftar" error="Nilai ini tidak ada di sheet Master. Tetap pakai?" sqref="D6:D505" xr:uid="{00000000-0002-0000-0600-000002000000}">
      <formula1>ListKategori</formula1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5" name="Button 1">
              <controlPr defaultSize="0" print="0" autoFill="0" autoPict="0" macro="TambahBarisBaru_ActiveSheet">
                <anchor moveWithCells="1" sizeWithCells="1">
                  <from>
                    <xdr:col>4</xdr:col>
                    <xdr:colOff>1457325</xdr:colOff>
                    <xdr:row>1</xdr:row>
                    <xdr:rowOff>285750</xdr:rowOff>
                  </from>
                  <to>
                    <xdr:col>5</xdr:col>
                    <xdr:colOff>3038475</xdr:colOff>
                    <xdr:row>3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AO96"/>
  <sheetViews>
    <sheetView topLeftCell="A19" workbookViewId="0">
      <selection activeCell="M32" sqref="M32"/>
    </sheetView>
  </sheetViews>
  <sheetFormatPr defaultRowHeight="24.75" customHeight="1" x14ac:dyDescent="0.25"/>
  <cols>
    <col min="1" max="1" width="15" customWidth="1"/>
    <col min="2" max="2" width="14" customWidth="1"/>
    <col min="3" max="3" width="20.85546875" customWidth="1"/>
    <col min="4" max="5" width="22.140625" customWidth="1"/>
    <col min="6" max="6" width="46" customWidth="1"/>
    <col min="7" max="7" width="2" customWidth="1"/>
    <col min="8" max="8" width="16.7109375" customWidth="1"/>
    <col min="9" max="9" width="16.42578125" customWidth="1"/>
    <col min="11" max="11" width="26" customWidth="1"/>
    <col min="12" max="12" width="9" customWidth="1"/>
    <col min="13" max="15" width="16" customWidth="1"/>
    <col min="16" max="16" width="19" customWidth="1"/>
    <col min="17" max="17" width="2" customWidth="1"/>
    <col min="18" max="18" width="22" customWidth="1"/>
    <col min="19" max="21" width="15" customWidth="1"/>
    <col min="22" max="22" width="34" customWidth="1"/>
    <col min="30" max="41" width="13" hidden="1" customWidth="1"/>
  </cols>
  <sheetData>
    <row r="1" spans="1:41" ht="24.75" customHeight="1" x14ac:dyDescent="0.25">
      <c r="A1" s="15" t="s">
        <v>45</v>
      </c>
      <c r="B1" s="16"/>
      <c r="C1" s="17" t="s">
        <v>46</v>
      </c>
      <c r="D1" s="16"/>
      <c r="K1" s="32" t="s">
        <v>47</v>
      </c>
      <c r="L1" s="33"/>
      <c r="M1" s="33"/>
      <c r="N1" s="33"/>
      <c r="O1" s="33"/>
      <c r="P1" s="33"/>
      <c r="Q1" s="33"/>
      <c r="R1" s="32" t="s">
        <v>48</v>
      </c>
      <c r="S1" s="33"/>
      <c r="T1" s="33"/>
      <c r="U1" s="33"/>
      <c r="V1" s="33"/>
      <c r="AD1" s="33">
        <f>DATE(2026,7,1)</f>
        <v>46204</v>
      </c>
      <c r="AE1" s="33"/>
      <c r="AF1" s="33" t="s">
        <v>49</v>
      </c>
      <c r="AG1" s="33"/>
      <c r="AH1" s="33" t="s">
        <v>50</v>
      </c>
      <c r="AI1" s="33" t="s">
        <v>51</v>
      </c>
      <c r="AJ1" s="33" t="str">
        <f>Master!$A$5</f>
        <v>Kategori Uji 01</v>
      </c>
      <c r="AK1" s="33">
        <f>SUMIFS(JulyTable[Jumlah (Rp)],JulyTable[Tipe],"Pengeluaran",JulyTable[Kategori],AJ1)</f>
        <v>0</v>
      </c>
      <c r="AL1" s="33">
        <f>SUMIFS(JuneTable[Jumlah (Rp)],JuneTable[Tipe],"Pengeluaran",JuneTable[Kategori],AJ1)</f>
        <v>0</v>
      </c>
      <c r="AM1" s="33">
        <f t="shared" ref="AM1:AM23" si="0">AK1+ROW()/1000000</f>
        <v>9.9999999999999995E-7</v>
      </c>
      <c r="AN1" s="33">
        <f>MAX($AM$1:$AM$23)</f>
        <v>2.3E-5</v>
      </c>
      <c r="AO1" s="33">
        <f>IFERROR(MATCH(AN1,$AM$1:$AM$23,0),0)</f>
        <v>23</v>
      </c>
    </row>
    <row r="2" spans="1:41" ht="24.75" customHeight="1" x14ac:dyDescent="0.25">
      <c r="A2" s="15" t="s">
        <v>5</v>
      </c>
      <c r="B2" s="7" t="str">
        <f>IF(B1=0,"",B1-D4)</f>
        <v/>
      </c>
      <c r="C2" s="17" t="s">
        <v>52</v>
      </c>
      <c r="D2" s="2">
        <f>SUMIFS(JulyTable[Jumlah (Rp)],JulyTable[Tipe],"Pemasukan")</f>
        <v>0</v>
      </c>
      <c r="E2" s="8">
        <f>IFERROR(D2/(D2+D3),0)</f>
        <v>0</v>
      </c>
      <c r="K2" s="34" t="s">
        <v>53</v>
      </c>
      <c r="L2" s="34" t="s">
        <v>54</v>
      </c>
      <c r="M2" s="34" t="s">
        <v>55</v>
      </c>
      <c r="N2" s="34" t="s">
        <v>56</v>
      </c>
      <c r="O2" s="34" t="s">
        <v>57</v>
      </c>
      <c r="P2" s="34" t="s">
        <v>58</v>
      </c>
      <c r="Q2" s="33"/>
      <c r="R2" s="34" t="s">
        <v>59</v>
      </c>
      <c r="S2" s="34" t="s">
        <v>49</v>
      </c>
      <c r="T2" s="34" t="s">
        <v>25</v>
      </c>
      <c r="U2" s="34" t="s">
        <v>60</v>
      </c>
      <c r="V2" s="34" t="s">
        <v>61</v>
      </c>
      <c r="AD2" s="33">
        <f>EOMONTH(AD1,0)</f>
        <v>46234</v>
      </c>
      <c r="AE2" s="33"/>
      <c r="AF2" s="33">
        <v>1</v>
      </c>
      <c r="AG2" s="33">
        <f t="shared" ref="AG2:AG32" si="1">DATE(2026,7,AF2)</f>
        <v>46204</v>
      </c>
      <c r="AH2" s="33">
        <f ca="1">IF(OR(AF2&gt;$AD$4,AF2&gt;$AD$3),NA(),SUMIFS(JulyTable[Jumlah (Rp)],JulyTable[Tipe],"Pengeluaran",JulyTable[Tanggal],"&lt;="&amp;AG2))</f>
        <v>0</v>
      </c>
      <c r="AI2" s="33">
        <f>IF(AF2&gt;$AD$4,NA(),Rekap!$B$19/$AD$4*AF2)</f>
        <v>7653.2258064516127</v>
      </c>
      <c r="AJ2" s="33" t="str">
        <f>Master!$A$6</f>
        <v>Kategori Uji 02</v>
      </c>
      <c r="AK2" s="33">
        <f>SUMIFS(JulyTable[Jumlah (Rp)],JulyTable[Tipe],"Pengeluaran",JulyTable[Kategori],AJ2)</f>
        <v>0</v>
      </c>
      <c r="AL2" s="33">
        <f>SUMIFS(JuneTable[Jumlah (Rp)],JuneTable[Tipe],"Pengeluaran",JuneTable[Kategori],AJ2)</f>
        <v>0</v>
      </c>
      <c r="AM2" s="33">
        <f t="shared" si="0"/>
        <v>1.9999999999999999E-6</v>
      </c>
      <c r="AN2" s="33">
        <f>SUMPRODUCT(MAX(($AM$1:$AM$23&lt;AN1)*$AM$1:$AM$23))</f>
        <v>2.1999999999999999E-5</v>
      </c>
      <c r="AO2" s="33">
        <f>IFERROR(MATCH(AN2,$AM$1:$AM$23,0),0)</f>
        <v>22</v>
      </c>
    </row>
    <row r="3" spans="1:41" ht="24.75" customHeight="1" x14ac:dyDescent="0.25">
      <c r="A3" s="15" t="s">
        <v>6</v>
      </c>
      <c r="B3" s="18" t="str">
        <f>IF(D2=0,"",(D2-D3)/D2)</f>
        <v/>
      </c>
      <c r="C3" s="19" t="s">
        <v>62</v>
      </c>
      <c r="D3" s="2">
        <f>SUMIFS(JulyTable[Jumlah (Rp)],JulyTable[Tipe],"Pengeluaran")</f>
        <v>0</v>
      </c>
      <c r="E3" s="8">
        <f>IFERROR(D3/(D2+D3),0)</f>
        <v>0</v>
      </c>
      <c r="K3" s="35" t="str">
        <f>"Uang Makan (hari kerja "&amp;TEXT($AD$1-1,"mmmm")&amp;")"</f>
        <v>Uang Makan (hari kerja June)</v>
      </c>
      <c r="L3" s="36">
        <v>10</v>
      </c>
      <c r="M3" s="37">
        <f>$M$10*$M$11</f>
        <v>0</v>
      </c>
      <c r="N3" s="37">
        <f>SUMIFS(JulyTable[Jumlah (Rp)],JulyTable[Tipe],"Pemasukan",JulyTable[Kategori],"Uang Makan")</f>
        <v>0</v>
      </c>
      <c r="O3" s="37">
        <f ca="1">IF(OR(N3&gt;0,TODAY()&gt;$AD$2),0,N(M3))</f>
        <v>0</v>
      </c>
      <c r="P3" s="35" t="str">
        <f ca="1">IF(N3&gt;0,"sudah cair",IF(TODAY()&gt;$AD$2,"bulan sudah lewat",IF(N(M3)=0,"isi estimasi dulu","menunggu tgl 10")))</f>
        <v>bulan sudah lewat</v>
      </c>
      <c r="Q3" s="33"/>
      <c r="R3" s="36">
        <v>1</v>
      </c>
      <c r="S3" s="38">
        <f>IF($AE$6=0,"",INDEX(JulyTable[Tanggal],$AE$6))</f>
        <v>0</v>
      </c>
      <c r="T3" s="35">
        <f>IF($AE$6=0,"",INDEX(JulyTable[Kategori],$AE$6))</f>
        <v>0</v>
      </c>
      <c r="U3" s="37">
        <f>IF($AE$6=0,"",INDEX(JulyTable[Jumlah (Rp)],$AE$6))</f>
        <v>0</v>
      </c>
      <c r="V3" s="35">
        <f>IF($AE$6=0,"",INDEX(JulyTable[Keterangan],$AE$6))</f>
        <v>0</v>
      </c>
      <c r="AD3" s="33">
        <f ca="1">IF(TODAY()&gt;=AD2,DAY(AD2),IF(TODAY()&lt;AD1,0,DAY(TODAY())))</f>
        <v>31</v>
      </c>
      <c r="AE3" s="33"/>
      <c r="AF3" s="33">
        <v>2</v>
      </c>
      <c r="AG3" s="33">
        <f t="shared" si="1"/>
        <v>46205</v>
      </c>
      <c r="AH3" s="33">
        <f ca="1">IF(OR(AF3&gt;$AD$4,AF3&gt;$AD$3),NA(),SUMIFS(JulyTable[Jumlah (Rp)],JulyTable[Tipe],"Pengeluaran",JulyTable[Tanggal],"&lt;="&amp;AG3))</f>
        <v>0</v>
      </c>
      <c r="AI3" s="33">
        <f>IF(AF3&gt;$AD$4,NA(),Rekap!$B$19/$AD$4*AF3)</f>
        <v>15306.451612903225</v>
      </c>
      <c r="AJ3" s="33" t="str">
        <f>Master!$A$7</f>
        <v>Kategori Uji 03</v>
      </c>
      <c r="AK3" s="33">
        <f>SUMIFS(JulyTable[Jumlah (Rp)],JulyTable[Tipe],"Pengeluaran",JulyTable[Kategori],AJ3)</f>
        <v>0</v>
      </c>
      <c r="AL3" s="33">
        <f>SUMIFS(JuneTable[Jumlah (Rp)],JuneTable[Tipe],"Pengeluaran",JuneTable[Kategori],AJ3)</f>
        <v>0</v>
      </c>
      <c r="AM3" s="33">
        <f t="shared" si="0"/>
        <v>3.0000000000000001E-6</v>
      </c>
      <c r="AN3" s="33">
        <f>SUMPRODUCT(MAX(($AM$1:$AM$23&lt;AN2)*$AM$1:$AM$23))</f>
        <v>2.0999999999999999E-5</v>
      </c>
      <c r="AO3" s="33">
        <f>IFERROR(MATCH(AN3,$AM$1:$AM$23,0),0)</f>
        <v>21</v>
      </c>
    </row>
    <row r="4" spans="1:41" ht="24.75" customHeight="1" x14ac:dyDescent="0.25">
      <c r="A4" s="15" t="s">
        <v>63</v>
      </c>
      <c r="B4">
        <f>COUNTA(JulyTable[Tanggal])</f>
        <v>0</v>
      </c>
      <c r="C4" s="17" t="s">
        <v>64</v>
      </c>
      <c r="D4" s="20">
        <f>D1+D2-D3</f>
        <v>0</v>
      </c>
      <c r="K4" s="35" t="s">
        <v>144</v>
      </c>
      <c r="L4" s="36">
        <v>10</v>
      </c>
      <c r="M4" s="39">
        <v>5000000</v>
      </c>
      <c r="N4" s="37">
        <f>SUMIFS(JulyTable[Jumlah (Rp)],JulyTable[Tipe],"Pemasukan",JulyTable[Kategori],"Gaji")</f>
        <v>0</v>
      </c>
      <c r="O4" s="37">
        <f ca="1">IF(OR(N4&gt;1000000,TODAY()&gt;$AD$2),0,N(M4))</f>
        <v>0</v>
      </c>
      <c r="P4" s="35" t="str">
        <f ca="1">IF(N4&gt;1000000,"sudah cair",IF(TODAY()&gt;$AD$2,"bulan sudah lewat",IF(N(M4)=0,"isi estimasi dulu","menunggu tgl 25")))</f>
        <v>bulan sudah lewat</v>
      </c>
      <c r="Q4" s="33"/>
      <c r="R4" s="36">
        <v>2</v>
      </c>
      <c r="S4" s="38">
        <f>IF($AE$7=0,"",INDEX(JulyTable[Tanggal],$AE$7))</f>
        <v>0</v>
      </c>
      <c r="T4" s="35">
        <f>IF($AE$7=0,"",INDEX(JulyTable[Kategori],$AE$7))</f>
        <v>0</v>
      </c>
      <c r="U4" s="37">
        <f>IF($AE$7=0,"",INDEX(JulyTable[Jumlah (Rp)],$AE$7))</f>
        <v>0</v>
      </c>
      <c r="V4" s="35">
        <f>IF($AE$7=0,"",INDEX(JulyTable[Keterangan],$AE$7))</f>
        <v>0</v>
      </c>
      <c r="AD4" s="33">
        <f>DAY(AD2)</f>
        <v>31</v>
      </c>
      <c r="AE4" s="33"/>
      <c r="AF4" s="33">
        <v>3</v>
      </c>
      <c r="AG4" s="33">
        <f t="shared" si="1"/>
        <v>46206</v>
      </c>
      <c r="AH4" s="33">
        <f ca="1">IF(OR(AF4&gt;$AD$4,AF4&gt;$AD$3),NA(),SUMIFS(JulyTable[Jumlah (Rp)],JulyTable[Tipe],"Pengeluaran",JulyTable[Tanggal],"&lt;="&amp;AG4))</f>
        <v>0</v>
      </c>
      <c r="AI4" s="33">
        <f>IF(AF4&gt;$AD$4,NA(),Rekap!$B$19/$AD$4*AF4)</f>
        <v>22959.677419354837</v>
      </c>
      <c r="AJ4" s="33" t="str">
        <f>Master!$A$8</f>
        <v>Kategori Uji 04</v>
      </c>
      <c r="AK4" s="33">
        <f>SUMIFS(JulyTable[Jumlah (Rp)],JulyTable[Tipe],"Pengeluaran",JulyTable[Kategori],AJ4)</f>
        <v>0</v>
      </c>
      <c r="AL4" s="33">
        <f>SUMIFS(JuneTable[Jumlah (Rp)],JuneTable[Tipe],"Pengeluaran",JuneTable[Kategori],AJ4)</f>
        <v>0</v>
      </c>
      <c r="AM4" s="33">
        <f t="shared" si="0"/>
        <v>3.9999999999999998E-6</v>
      </c>
      <c r="AN4" s="33">
        <f>SUMPRODUCT(MAX(($AM$1:$AM$23&lt;AN3)*$AM$1:$AM$23))</f>
        <v>2.0000000000000002E-5</v>
      </c>
      <c r="AO4" s="33">
        <f>IFERROR(MATCH(AN4,$AM$1:$AM$23,0),0)</f>
        <v>20</v>
      </c>
    </row>
    <row r="5" spans="1:41" ht="24.75" customHeight="1" x14ac:dyDescent="0.25">
      <c r="A5" s="1" t="s">
        <v>49</v>
      </c>
      <c r="B5" s="1" t="s">
        <v>65</v>
      </c>
      <c r="C5" s="3" t="s">
        <v>66</v>
      </c>
      <c r="D5" s="1" t="s">
        <v>25</v>
      </c>
      <c r="E5" s="1" t="s">
        <v>67</v>
      </c>
      <c r="F5" s="1" t="s">
        <v>61</v>
      </c>
      <c r="K5" s="35" t="s">
        <v>145</v>
      </c>
      <c r="L5" s="36">
        <v>20</v>
      </c>
      <c r="M5" s="39">
        <v>1000000</v>
      </c>
      <c r="N5" s="37">
        <f>SUMIFS(JulyTable[Jumlah (Rp)],JulyTable[Tipe],"Pemasukan",JulyTable[Kategori],"Freelance")</f>
        <v>0</v>
      </c>
      <c r="O5" s="37">
        <f ca="1">IF(OR(N5&gt;0,TODAY()&gt;$AD$2),0,N(M5))</f>
        <v>0</v>
      </c>
      <c r="P5" s="35" t="str">
        <f ca="1">IF(N5&gt;0,"sudah cair",IF(TODAY()&gt;$AD$2,"bulan sudah lewat",IF(N(M5)=0,"isi estimasi dulu","menunggu tgl 28")))</f>
        <v>bulan sudah lewat</v>
      </c>
      <c r="Q5" s="33"/>
      <c r="R5" s="36">
        <v>3</v>
      </c>
      <c r="S5" s="38">
        <f>IF($AE$8=0,"",INDEX(JulyTable[Tanggal],$AE$8))</f>
        <v>0</v>
      </c>
      <c r="T5" s="35">
        <f>IF($AE$8=0,"",INDEX(JulyTable[Kategori],$AE$8))</f>
        <v>0</v>
      </c>
      <c r="U5" s="37">
        <f>IF($AE$8=0,"",INDEX(JulyTable[Jumlah (Rp)],$AE$8))</f>
        <v>0</v>
      </c>
      <c r="V5" s="35">
        <f>IF($AE$8=0,"",INDEX(JulyTable[Keterangan],$AE$8))</f>
        <v>0</v>
      </c>
      <c r="AD5" s="33"/>
      <c r="AE5" s="33"/>
      <c r="AF5" s="33">
        <v>4</v>
      </c>
      <c r="AG5" s="33">
        <f t="shared" si="1"/>
        <v>46207</v>
      </c>
      <c r="AH5" s="33">
        <f ca="1">IF(OR(AF5&gt;$AD$4,AF5&gt;$AD$3),NA(),SUMIFS(JulyTable[Jumlah (Rp)],JulyTable[Tipe],"Pengeluaran",JulyTable[Tanggal],"&lt;="&amp;AG5))</f>
        <v>0</v>
      </c>
      <c r="AI5" s="33">
        <f>IF(AF5&gt;$AD$4,NA(),Rekap!$B$19/$AD$4*AF5)</f>
        <v>30612.903225806451</v>
      </c>
      <c r="AJ5" s="33" t="str">
        <f>Master!$A$9</f>
        <v>Kategori Uji 05</v>
      </c>
      <c r="AK5" s="33">
        <f>SUMIFS(JulyTable[Jumlah (Rp)],JulyTable[Tipe],"Pengeluaran",JulyTable[Kategori],AJ5)</f>
        <v>0</v>
      </c>
      <c r="AL5" s="33">
        <f>SUMIFS(JuneTable[Jumlah (Rp)],JuneTable[Tipe],"Pengeluaran",JuneTable[Kategori],AJ5)</f>
        <v>0</v>
      </c>
      <c r="AM5" s="33">
        <f t="shared" si="0"/>
        <v>5.0000000000000004E-6</v>
      </c>
      <c r="AN5" s="33">
        <f>SUMPRODUCT(MAX(($AM$1:$AM$23&lt;AN4)*$AM$1:$AM$23))</f>
        <v>1.9000000000000001E-5</v>
      </c>
      <c r="AO5" s="33">
        <f>IFERROR(MATCH(AN5,$AM$1:$AM$23,0),0)</f>
        <v>19</v>
      </c>
    </row>
    <row r="6" spans="1:41" ht="24.75" customHeight="1" x14ac:dyDescent="0.25">
      <c r="A6" s="5"/>
      <c r="B6" s="3"/>
      <c r="C6" s="3"/>
      <c r="D6" s="3"/>
      <c r="E6" s="6"/>
      <c r="F6" s="4"/>
      <c r="K6" s="40" t="s">
        <v>21</v>
      </c>
      <c r="L6" s="41"/>
      <c r="M6" s="42">
        <f>SUM(M3:M5)</f>
        <v>6000000</v>
      </c>
      <c r="N6" s="42">
        <f>SUM(N3:N5)</f>
        <v>0</v>
      </c>
      <c r="O6" s="42">
        <f ca="1">SUM(O3:O5)</f>
        <v>0</v>
      </c>
      <c r="P6" s="41"/>
      <c r="Q6" s="33"/>
      <c r="R6" s="36">
        <v>4</v>
      </c>
      <c r="S6" s="38">
        <f>IF($AE$9=0,"",INDEX(JulyTable[Tanggal],$AE$9))</f>
        <v>0</v>
      </c>
      <c r="T6" s="35">
        <f>IF($AE$9=0,"",INDEX(JulyTable[Kategori],$AE$9))</f>
        <v>0</v>
      </c>
      <c r="U6" s="37">
        <f>IF($AE$9=0,"",INDEX(JulyTable[Jumlah (Rp)],$AE$9))</f>
        <v>0</v>
      </c>
      <c r="V6" s="35">
        <f>IF($AE$9=0,"",INDEX(JulyTable[Keterangan],$AE$9))</f>
        <v>0</v>
      </c>
      <c r="AD6" s="33">
        <f>SUMPRODUCT(MAX((JulyTable[Tipe]="Pengeluaran")*(JulyTable[Jumlah (Rp)]+ROW(JulyTable[Jumlah (Rp)])/1000000)))</f>
        <v>0</v>
      </c>
      <c r="AE6" s="33">
        <f>IFERROR(SUMPRODUCT(MATCH(AD6,(JulyTable[Tipe]="Pengeluaran")*(JulyTable[Jumlah (Rp)]+ROW(JulyTable[Jumlah (Rp)])/1000000),0)),0)</f>
        <v>1</v>
      </c>
      <c r="AF6" s="33">
        <v>5</v>
      </c>
      <c r="AG6" s="33">
        <f t="shared" si="1"/>
        <v>46208</v>
      </c>
      <c r="AH6" s="33">
        <f ca="1">IF(OR(AF6&gt;$AD$4,AF6&gt;$AD$3),NA(),SUMIFS(JulyTable[Jumlah (Rp)],JulyTable[Tipe],"Pengeluaran",JulyTable[Tanggal],"&lt;="&amp;AG6))</f>
        <v>0</v>
      </c>
      <c r="AI6" s="33">
        <f>IF(AF6&gt;$AD$4,NA(),Rekap!$B$19/$AD$4*AF6)</f>
        <v>38266.129032258061</v>
      </c>
      <c r="AJ6" s="33" t="str">
        <f>Master!$A$10</f>
        <v>Kategori Uji 06</v>
      </c>
      <c r="AK6" s="33">
        <f>SUMIFS(JulyTable[Jumlah (Rp)],JulyTable[Tipe],"Pengeluaran",JulyTable[Kategori],AJ6)</f>
        <v>0</v>
      </c>
      <c r="AL6" s="33">
        <f>SUMIFS(JuneTable[Jumlah (Rp)],JuneTable[Tipe],"Pengeluaran",JuneTable[Kategori],AJ6)</f>
        <v>0</v>
      </c>
      <c r="AM6" s="33">
        <f t="shared" si="0"/>
        <v>6.0000000000000002E-6</v>
      </c>
      <c r="AN6" s="33"/>
      <c r="AO6" s="33"/>
    </row>
    <row r="7" spans="1:41" ht="24.75" customHeight="1" x14ac:dyDescent="0.25">
      <c r="A7" s="5"/>
      <c r="B7" s="3"/>
      <c r="C7" s="3"/>
      <c r="D7" s="3"/>
      <c r="E7" s="6"/>
      <c r="F7" s="4"/>
      <c r="K7" s="33"/>
      <c r="L7" s="33"/>
      <c r="M7" s="33"/>
      <c r="N7" s="33"/>
      <c r="O7" s="33"/>
      <c r="P7" s="33"/>
      <c r="Q7" s="33"/>
      <c r="R7" s="36">
        <v>5</v>
      </c>
      <c r="S7" s="38">
        <f>IF($AE$10=0,"",INDEX(JulyTable[Tanggal],$AE$10))</f>
        <v>0</v>
      </c>
      <c r="T7" s="35">
        <f>IF($AE$10=0,"",INDEX(JulyTable[Kategori],$AE$10))</f>
        <v>0</v>
      </c>
      <c r="U7" s="37">
        <f>IF($AE$10=0,"",INDEX(JulyTable[Jumlah (Rp)],$AE$10))</f>
        <v>0</v>
      </c>
      <c r="V7" s="35">
        <f>IF($AE$10=0,"",INDEX(JulyTable[Keterangan],$AE$10))</f>
        <v>0</v>
      </c>
      <c r="AD7" s="33">
        <f>SUMPRODUCT(MAX((JulyTable[Tipe]="Pengeluaran")*((JulyTable[Jumlah (Rp)]+ROW(JulyTable[Jumlah (Rp)])/1000000)&lt;AD6)*(JulyTable[Jumlah (Rp)]+ROW(JulyTable[Jumlah (Rp)])/1000000)))</f>
        <v>0</v>
      </c>
      <c r="AE7" s="33">
        <f>IFERROR(SUMPRODUCT(MATCH(AD7,(JulyTable[Tipe]="Pengeluaran")*(JulyTable[Jumlah (Rp)]+ROW(JulyTable[Jumlah (Rp)])/1000000),0)),0)</f>
        <v>1</v>
      </c>
      <c r="AF7" s="33">
        <v>6</v>
      </c>
      <c r="AG7" s="33">
        <f t="shared" si="1"/>
        <v>46209</v>
      </c>
      <c r="AH7" s="33">
        <f ca="1">IF(OR(AF7&gt;$AD$4,AF7&gt;$AD$3),NA(),SUMIFS(JulyTable[Jumlah (Rp)],JulyTable[Tipe],"Pengeluaran",JulyTable[Tanggal],"&lt;="&amp;AG7))</f>
        <v>0</v>
      </c>
      <c r="AI7" s="33">
        <f>IF(AF7&gt;$AD$4,NA(),Rekap!$B$19/$AD$4*AF7)</f>
        <v>45919.354838709674</v>
      </c>
      <c r="AJ7" s="33" t="str">
        <f>Master!$A$11</f>
        <v>Kategori Uji 07</v>
      </c>
      <c r="AK7" s="33">
        <f>SUMIFS(JulyTable[Jumlah (Rp)],JulyTable[Tipe],"Pengeluaran",JulyTable[Kategori],AJ7)</f>
        <v>0</v>
      </c>
      <c r="AL7" s="33">
        <f>SUMIFS(JuneTable[Jumlah (Rp)],JuneTable[Tipe],"Pengeluaran",JuneTable[Kategori],AJ7)</f>
        <v>0</v>
      </c>
      <c r="AM7" s="33">
        <f t="shared" si="0"/>
        <v>6.9999999999999999E-6</v>
      </c>
      <c r="AN7" s="33"/>
      <c r="AO7" s="33"/>
    </row>
    <row r="8" spans="1:41" ht="24.75" customHeight="1" x14ac:dyDescent="0.25">
      <c r="A8" s="5"/>
      <c r="B8" s="3"/>
      <c r="C8" s="3"/>
      <c r="D8" s="3"/>
      <c r="E8" s="6"/>
      <c r="F8" s="4"/>
      <c r="K8" s="43" t="s">
        <v>68</v>
      </c>
      <c r="L8" s="33"/>
      <c r="M8" s="33"/>
      <c r="N8" s="33"/>
      <c r="O8" s="33"/>
      <c r="P8" s="33"/>
      <c r="Q8" s="33"/>
      <c r="R8" s="52" t="s">
        <v>69</v>
      </c>
      <c r="S8" s="55"/>
      <c r="T8" s="55"/>
      <c r="U8" s="42">
        <f>SUM(U3:U7)</f>
        <v>0</v>
      </c>
      <c r="V8" s="44">
        <f>IFERROR(U8/$D$3,0)</f>
        <v>0</v>
      </c>
      <c r="AD8" s="33">
        <f>SUMPRODUCT(MAX((JulyTable[Tipe]="Pengeluaran")*((JulyTable[Jumlah (Rp)]+ROW(JulyTable[Jumlah (Rp)])/1000000)&lt;AD7)*(JulyTable[Jumlah (Rp)]+ROW(JulyTable[Jumlah (Rp)])/1000000)))</f>
        <v>0</v>
      </c>
      <c r="AE8" s="33">
        <f>IFERROR(SUMPRODUCT(MATCH(AD8,(JulyTable[Tipe]="Pengeluaran")*(JulyTable[Jumlah (Rp)]+ROW(JulyTable[Jumlah (Rp)])/1000000),0)),0)</f>
        <v>1</v>
      </c>
      <c r="AF8" s="33">
        <v>7</v>
      </c>
      <c r="AG8" s="33">
        <f t="shared" si="1"/>
        <v>46210</v>
      </c>
      <c r="AH8" s="33">
        <f ca="1">IF(OR(AF8&gt;$AD$4,AF8&gt;$AD$3),NA(),SUMIFS(JulyTable[Jumlah (Rp)],JulyTable[Tipe],"Pengeluaran",JulyTable[Tanggal],"&lt;="&amp;AG8))</f>
        <v>0</v>
      </c>
      <c r="AI8" s="33">
        <f>IF(AF8&gt;$AD$4,NA(),Rekap!$B$19/$AD$4*AF8)</f>
        <v>53572.580645161288</v>
      </c>
      <c r="AJ8" s="33" t="str">
        <f>Master!$A$12</f>
        <v>Kategori Uji 08</v>
      </c>
      <c r="AK8" s="33">
        <f>SUMIFS(JulyTable[Jumlah (Rp)],JulyTable[Tipe],"Pengeluaran",JulyTable[Kategori],AJ8)</f>
        <v>0</v>
      </c>
      <c r="AL8" s="33">
        <f>SUMIFS(JuneTable[Jumlah (Rp)],JuneTable[Tipe],"Pengeluaran",JuneTable[Kategori],AJ8)</f>
        <v>0</v>
      </c>
      <c r="AM8" s="33">
        <f t="shared" si="0"/>
        <v>7.9999999999999996E-6</v>
      </c>
      <c r="AN8" s="33"/>
      <c r="AO8" s="33"/>
    </row>
    <row r="9" spans="1:41" ht="24.75" customHeight="1" x14ac:dyDescent="0.25">
      <c r="A9" s="5"/>
      <c r="B9" s="3"/>
      <c r="C9" s="3"/>
      <c r="D9" s="3"/>
      <c r="E9" s="6"/>
      <c r="F9" s="4"/>
      <c r="K9" s="56" t="s">
        <v>61</v>
      </c>
      <c r="L9" s="53"/>
      <c r="M9" s="34" t="s">
        <v>70</v>
      </c>
      <c r="N9" s="33"/>
      <c r="O9" s="33"/>
      <c r="P9" s="33"/>
      <c r="Q9" s="33"/>
      <c r="R9" s="33"/>
      <c r="S9" s="33"/>
      <c r="T9" s="33"/>
      <c r="U9" s="33"/>
      <c r="V9" s="33"/>
      <c r="AD9" s="33">
        <f>SUMPRODUCT(MAX((JulyTable[Tipe]="Pengeluaran")*((JulyTable[Jumlah (Rp)]+ROW(JulyTable[Jumlah (Rp)])/1000000)&lt;AD8)*(JulyTable[Jumlah (Rp)]+ROW(JulyTable[Jumlah (Rp)])/1000000)))</f>
        <v>0</v>
      </c>
      <c r="AE9" s="33">
        <f>IFERROR(SUMPRODUCT(MATCH(AD9,(JulyTable[Tipe]="Pengeluaran")*(JulyTable[Jumlah (Rp)]+ROW(JulyTable[Jumlah (Rp)])/1000000),0)),0)</f>
        <v>1</v>
      </c>
      <c r="AF9" s="33">
        <v>8</v>
      </c>
      <c r="AG9" s="33">
        <f t="shared" si="1"/>
        <v>46211</v>
      </c>
      <c r="AH9" s="33">
        <f ca="1">IF(OR(AF9&gt;$AD$4,AF9&gt;$AD$3),NA(),SUMIFS(JulyTable[Jumlah (Rp)],JulyTable[Tipe],"Pengeluaran",JulyTable[Tanggal],"&lt;="&amp;AG9))</f>
        <v>0</v>
      </c>
      <c r="AI9" s="33">
        <f>IF(AF9&gt;$AD$4,NA(),Rekap!$B$19/$AD$4*AF9)</f>
        <v>61225.806451612902</v>
      </c>
      <c r="AJ9" s="33" t="str">
        <f>Master!$A$13</f>
        <v>Kategori Uji 09</v>
      </c>
      <c r="AK9" s="33">
        <f>SUMIFS(JulyTable[Jumlah (Rp)],JulyTable[Tipe],"Pengeluaran",JulyTable[Kategori],AJ9)</f>
        <v>0</v>
      </c>
      <c r="AL9" s="33">
        <f>SUMIFS(JuneTable[Jumlah (Rp)],JuneTable[Tipe],"Pengeluaran",JuneTable[Kategori],AJ9)</f>
        <v>0</v>
      </c>
      <c r="AM9" s="33">
        <f t="shared" si="0"/>
        <v>9.0000000000000002E-6</v>
      </c>
      <c r="AN9" s="33"/>
      <c r="AO9" s="33"/>
    </row>
    <row r="10" spans="1:41" ht="24.75" customHeight="1" x14ac:dyDescent="0.25">
      <c r="A10" s="5"/>
      <c r="B10" s="3"/>
      <c r="C10" s="3"/>
      <c r="D10" s="3"/>
      <c r="E10" s="6"/>
      <c r="F10" s="4"/>
      <c r="K10" s="54" t="str">
        <f>"Hari kerja "&amp;TEXT($AD$1-1,"mmmm")</f>
        <v>Hari kerja June</v>
      </c>
      <c r="L10" s="53"/>
      <c r="M10" s="45"/>
      <c r="N10" s="33"/>
      <c r="O10" s="33"/>
      <c r="P10" s="33"/>
      <c r="Q10" s="33"/>
      <c r="R10" s="32" t="s">
        <v>71</v>
      </c>
      <c r="S10" s="33"/>
      <c r="T10" s="33"/>
      <c r="U10" s="33"/>
      <c r="V10" s="33"/>
      <c r="AD10" s="33">
        <f>SUMPRODUCT(MAX((JulyTable[Tipe]="Pengeluaran")*((JulyTable[Jumlah (Rp)]+ROW(JulyTable[Jumlah (Rp)])/1000000)&lt;AD9)*(JulyTable[Jumlah (Rp)]+ROW(JulyTable[Jumlah (Rp)])/1000000)))</f>
        <v>0</v>
      </c>
      <c r="AE10" s="33">
        <f>IFERROR(SUMPRODUCT(MATCH(AD10,(JulyTable[Tipe]="Pengeluaran")*(JulyTable[Jumlah (Rp)]+ROW(JulyTable[Jumlah (Rp)])/1000000),0)),0)</f>
        <v>1</v>
      </c>
      <c r="AF10" s="33">
        <v>9</v>
      </c>
      <c r="AG10" s="33">
        <f t="shared" si="1"/>
        <v>46212</v>
      </c>
      <c r="AH10" s="33">
        <f ca="1">IF(OR(AF10&gt;$AD$4,AF10&gt;$AD$3),NA(),SUMIFS(JulyTable[Jumlah (Rp)],JulyTable[Tipe],"Pengeluaran",JulyTable[Tanggal],"&lt;="&amp;AG10))</f>
        <v>0</v>
      </c>
      <c r="AI10" s="33">
        <f>IF(AF10&gt;$AD$4,NA(),Rekap!$B$19/$AD$4*AF10)</f>
        <v>68879.032258064515</v>
      </c>
      <c r="AJ10" s="33" t="str">
        <f>Master!$A$14</f>
        <v>Kategori Uji 10</v>
      </c>
      <c r="AK10" s="33">
        <f>SUMIFS(JulyTable[Jumlah (Rp)],JulyTable[Tipe],"Pengeluaran",JulyTable[Kategori],AJ10)</f>
        <v>0</v>
      </c>
      <c r="AL10" s="33">
        <f>SUMIFS(JuneTable[Jumlah (Rp)],JuneTable[Tipe],"Pengeluaran",JuneTable[Kategori],AJ10)</f>
        <v>0</v>
      </c>
      <c r="AM10" s="33">
        <f t="shared" si="0"/>
        <v>1.0000000000000001E-5</v>
      </c>
      <c r="AN10" s="33"/>
      <c r="AO10" s="33"/>
    </row>
    <row r="11" spans="1:41" ht="24.75" customHeight="1" x14ac:dyDescent="0.25">
      <c r="A11" s="5"/>
      <c r="B11" s="3"/>
      <c r="C11" s="3"/>
      <c r="D11" s="3"/>
      <c r="E11" s="6"/>
      <c r="F11" s="4"/>
      <c r="K11" s="54" t="s">
        <v>72</v>
      </c>
      <c r="L11" s="53"/>
      <c r="M11" s="39">
        <v>50000</v>
      </c>
      <c r="N11" s="33"/>
      <c r="O11" s="33"/>
      <c r="P11" s="33"/>
      <c r="Q11" s="33"/>
      <c r="R11" s="34" t="s">
        <v>84</v>
      </c>
      <c r="S11" s="34" t="s">
        <v>100</v>
      </c>
      <c r="T11" s="34" t="s">
        <v>101</v>
      </c>
      <c r="U11" s="34" t="s">
        <v>5</v>
      </c>
      <c r="V11" s="34" t="s">
        <v>95</v>
      </c>
      <c r="AD11" s="33"/>
      <c r="AE11" s="33"/>
      <c r="AF11" s="33">
        <v>10</v>
      </c>
      <c r="AG11" s="33">
        <f t="shared" si="1"/>
        <v>46213</v>
      </c>
      <c r="AH11" s="33">
        <f ca="1">IF(OR(AF11&gt;$AD$4,AF11&gt;$AD$3),NA(),SUMIFS(JulyTable[Jumlah (Rp)],JulyTable[Tipe],"Pengeluaran",JulyTable[Tanggal],"&lt;="&amp;AG11))</f>
        <v>0</v>
      </c>
      <c r="AI11" s="33">
        <f>IF(AF11&gt;$AD$4,NA(),Rekap!$B$19/$AD$4*AF11)</f>
        <v>76532.258064516122</v>
      </c>
      <c r="AJ11" s="33" t="str">
        <f>Master!$A$15</f>
        <v>Kategori Uji 11</v>
      </c>
      <c r="AK11" s="33">
        <f>SUMIFS(JulyTable[Jumlah (Rp)],JulyTable[Tipe],"Pengeluaran",JulyTable[Kategori],AJ11)</f>
        <v>0</v>
      </c>
      <c r="AL11" s="33">
        <f>SUMIFS(JuneTable[Jumlah (Rp)],JuneTable[Tipe],"Pengeluaran",JuneTable[Kategori],AJ11)</f>
        <v>0</v>
      </c>
      <c r="AM11" s="33">
        <f t="shared" si="0"/>
        <v>1.1E-5</v>
      </c>
      <c r="AN11" s="33"/>
      <c r="AO11" s="33"/>
    </row>
    <row r="12" spans="1:41" ht="24.75" customHeight="1" x14ac:dyDescent="0.25">
      <c r="A12" s="5"/>
      <c r="B12" s="3"/>
      <c r="C12" s="3"/>
      <c r="D12" s="3"/>
      <c r="E12" s="6"/>
      <c r="F12" s="4"/>
      <c r="H12" s="9" t="s">
        <v>65</v>
      </c>
      <c r="I12" t="s">
        <v>118</v>
      </c>
      <c r="K12" s="33"/>
      <c r="L12" s="33"/>
      <c r="M12" s="33"/>
      <c r="N12" s="33"/>
      <c r="O12" s="33"/>
      <c r="P12" s="33"/>
      <c r="Q12" s="33"/>
      <c r="R12" s="35" t="s">
        <v>3</v>
      </c>
      <c r="S12" s="37">
        <f>SUMIFS(JuneTable[Jumlah (Rp)],JuneTable[Tipe],"Pemasukan")</f>
        <v>0</v>
      </c>
      <c r="T12" s="37">
        <f>SUMIFS(JulyTable[Jumlah (Rp)],JulyTable[Tipe],"Pemasukan")</f>
        <v>0</v>
      </c>
      <c r="U12" s="37">
        <f>T12-S12</f>
        <v>0</v>
      </c>
      <c r="V12" s="48" t="str">
        <f>IFERROR(U12/S12,"")</f>
        <v/>
      </c>
      <c r="AD12" s="33"/>
      <c r="AE12" s="33"/>
      <c r="AF12" s="33">
        <v>11</v>
      </c>
      <c r="AG12" s="33">
        <f t="shared" si="1"/>
        <v>46214</v>
      </c>
      <c r="AH12" s="33">
        <f ca="1">IF(OR(AF12&gt;$AD$4,AF12&gt;$AD$3),NA(),SUMIFS(JulyTable[Jumlah (Rp)],JulyTable[Tipe],"Pengeluaran",JulyTable[Tanggal],"&lt;="&amp;AG12))</f>
        <v>0</v>
      </c>
      <c r="AI12" s="33">
        <f>IF(AF12&gt;$AD$4,NA(),Rekap!$B$19/$AD$4*AF12)</f>
        <v>84185.483870967742</v>
      </c>
      <c r="AJ12" s="33" t="str">
        <f>Master!$A$16</f>
        <v>Kategori Uji 12</v>
      </c>
      <c r="AK12" s="33">
        <f>SUMIFS(JulyTable[Jumlah (Rp)],JulyTable[Tipe],"Pengeluaran",JulyTable[Kategori],AJ12)</f>
        <v>0</v>
      </c>
      <c r="AL12" s="33">
        <f>SUMIFS(JuneTable[Jumlah (Rp)],JuneTable[Tipe],"Pengeluaran",JuneTable[Kategori],AJ12)</f>
        <v>0</v>
      </c>
      <c r="AM12" s="33">
        <f t="shared" si="0"/>
        <v>1.2E-5</v>
      </c>
      <c r="AN12" s="33"/>
      <c r="AO12" s="33"/>
    </row>
    <row r="13" spans="1:41" ht="24.75" customHeight="1" x14ac:dyDescent="0.25">
      <c r="A13" s="5"/>
      <c r="B13" s="3"/>
      <c r="C13" s="3"/>
      <c r="D13" s="3"/>
      <c r="E13" s="6"/>
      <c r="F13" s="4"/>
      <c r="H13" s="57" t="s">
        <v>74</v>
      </c>
      <c r="I13" s="58"/>
      <c r="K13" s="43" t="s">
        <v>75</v>
      </c>
      <c r="L13" s="33"/>
      <c r="M13" s="33"/>
      <c r="N13" s="33"/>
      <c r="O13" s="33"/>
      <c r="P13" s="33"/>
      <c r="Q13" s="33"/>
      <c r="R13" s="35" t="s">
        <v>4</v>
      </c>
      <c r="S13" s="37">
        <f>SUMIFS(JuneTable[Jumlah (Rp)],JuneTable[Tipe],"Pengeluaran")</f>
        <v>0</v>
      </c>
      <c r="T13" s="37">
        <f>SUMIFS(JulyTable[Jumlah (Rp)],JulyTable[Tipe],"Pengeluaran")</f>
        <v>0</v>
      </c>
      <c r="U13" s="37">
        <f>T13-S13</f>
        <v>0</v>
      </c>
      <c r="V13" s="48" t="str">
        <f>IFERROR(U13/S13,"")</f>
        <v/>
      </c>
      <c r="AD13" s="33"/>
      <c r="AE13" s="33"/>
      <c r="AF13" s="33">
        <v>12</v>
      </c>
      <c r="AG13" s="33">
        <f t="shared" si="1"/>
        <v>46215</v>
      </c>
      <c r="AH13" s="33">
        <f ca="1">IF(OR(AF13&gt;$AD$4,AF13&gt;$AD$3),NA(),SUMIFS(JulyTable[Jumlah (Rp)],JulyTable[Tipe],"Pengeluaran",JulyTable[Tanggal],"&lt;="&amp;AG13))</f>
        <v>0</v>
      </c>
      <c r="AI13" s="33">
        <f>IF(AF13&gt;$AD$4,NA(),Rekap!$B$19/$AD$4*AF13)</f>
        <v>91838.709677419349</v>
      </c>
      <c r="AJ13" s="33" t="str">
        <f>Master!$A$17</f>
        <v>Kategori Uji 13</v>
      </c>
      <c r="AK13" s="33">
        <f>SUMIFS(JulyTable[Jumlah (Rp)],JulyTable[Tipe],"Pengeluaran",JulyTable[Kategori],AJ13)</f>
        <v>0</v>
      </c>
      <c r="AL13" s="33">
        <f>SUMIFS(JuneTable[Jumlah (Rp)],JuneTable[Tipe],"Pengeluaran",JuneTable[Kategori],AJ13)</f>
        <v>0</v>
      </c>
      <c r="AM13" s="33">
        <f t="shared" si="0"/>
        <v>1.2999999999999999E-5</v>
      </c>
      <c r="AN13" s="33"/>
      <c r="AO13" s="33"/>
    </row>
    <row r="14" spans="1:41" ht="24.75" customHeight="1" x14ac:dyDescent="0.25">
      <c r="A14" s="5"/>
      <c r="B14" s="3"/>
      <c r="C14" s="3"/>
      <c r="D14" s="3"/>
      <c r="E14" s="6"/>
      <c r="F14" s="4"/>
      <c r="H14" s="9" t="s">
        <v>25</v>
      </c>
      <c r="I14" t="s">
        <v>76</v>
      </c>
      <c r="K14" s="56" t="s">
        <v>61</v>
      </c>
      <c r="L14" s="53"/>
      <c r="M14" s="34" t="s">
        <v>70</v>
      </c>
      <c r="N14" s="33"/>
      <c r="O14" s="33"/>
      <c r="P14" s="33"/>
      <c r="Q14" s="33"/>
      <c r="R14" s="35" t="s">
        <v>96</v>
      </c>
      <c r="S14" s="47">
        <f>COUNTA(JuneTable[Tanggal])</f>
        <v>0</v>
      </c>
      <c r="T14" s="47">
        <f>COUNTA(JulyTable[Tanggal])</f>
        <v>0</v>
      </c>
      <c r="U14" s="47">
        <f>T14-S14</f>
        <v>0</v>
      </c>
      <c r="V14" s="48" t="str">
        <f>IFERROR(U14/S14,"")</f>
        <v/>
      </c>
      <c r="AD14" s="33"/>
      <c r="AE14" s="33"/>
      <c r="AF14" s="33">
        <v>13</v>
      </c>
      <c r="AG14" s="33">
        <f t="shared" si="1"/>
        <v>46216</v>
      </c>
      <c r="AH14" s="33">
        <f ca="1">IF(OR(AF14&gt;$AD$4,AF14&gt;$AD$3),NA(),SUMIFS(JulyTable[Jumlah (Rp)],JulyTable[Tipe],"Pengeluaran",JulyTable[Tanggal],"&lt;="&amp;AG14))</f>
        <v>0</v>
      </c>
      <c r="AI14" s="33">
        <f>IF(AF14&gt;$AD$4,NA(),Rekap!$B$19/$AD$4*AF14)</f>
        <v>99491.93548387097</v>
      </c>
      <c r="AJ14" s="33" t="str">
        <f>Master!$A$18</f>
        <v>Kategori Uji 14</v>
      </c>
      <c r="AK14" s="33">
        <f>SUMIFS(JulyTable[Jumlah (Rp)],JulyTable[Tipe],"Pengeluaran",JulyTable[Kategori],AJ14)</f>
        <v>0</v>
      </c>
      <c r="AL14" s="33">
        <f>SUMIFS(JuneTable[Jumlah (Rp)],JuneTable[Tipe],"Pengeluaran",JuneTable[Kategori],AJ14)</f>
        <v>0</v>
      </c>
      <c r="AM14" s="33">
        <f t="shared" si="0"/>
        <v>1.4E-5</v>
      </c>
      <c r="AN14" s="33"/>
      <c r="AO14" s="33"/>
    </row>
    <row r="15" spans="1:41" ht="24.75" customHeight="1" x14ac:dyDescent="0.25">
      <c r="A15" s="5"/>
      <c r="B15" s="3"/>
      <c r="C15" s="3"/>
      <c r="D15" s="3"/>
      <c r="E15" s="6"/>
      <c r="F15" s="4"/>
      <c r="H15" s="10" t="s">
        <v>119</v>
      </c>
      <c r="I15" s="7"/>
      <c r="K15" s="54" t="s">
        <v>77</v>
      </c>
      <c r="L15" s="53"/>
      <c r="M15" s="37">
        <f>D2</f>
        <v>0</v>
      </c>
      <c r="N15" s="33"/>
      <c r="O15" s="33"/>
      <c r="P15" s="33"/>
      <c r="Q15" s="33"/>
      <c r="R15" s="35" t="s">
        <v>97</v>
      </c>
      <c r="S15" s="37">
        <f>IFERROR(S13/S14,0)</f>
        <v>0</v>
      </c>
      <c r="T15" s="37">
        <f>IFERROR(T13/T14,0)</f>
        <v>0</v>
      </c>
      <c r="U15" s="37">
        <f>T15-S15</f>
        <v>0</v>
      </c>
      <c r="V15" s="48" t="str">
        <f>IFERROR(U15/S15,"")</f>
        <v/>
      </c>
      <c r="AD15" s="33"/>
      <c r="AE15" s="33"/>
      <c r="AF15" s="33">
        <v>14</v>
      </c>
      <c r="AG15" s="33">
        <f t="shared" si="1"/>
        <v>46217</v>
      </c>
      <c r="AH15" s="33">
        <f ca="1">IF(OR(AF15&gt;$AD$4,AF15&gt;$AD$3),NA(),SUMIFS(JulyTable[Jumlah (Rp)],JulyTable[Tipe],"Pengeluaran",JulyTable[Tanggal],"&lt;="&amp;AG15))</f>
        <v>0</v>
      </c>
      <c r="AI15" s="33">
        <f>IF(AF15&gt;$AD$4,NA(),Rekap!$B$19/$AD$4*AF15)</f>
        <v>107145.16129032258</v>
      </c>
      <c r="AJ15" s="33" t="str">
        <f>Master!$A$19</f>
        <v>Kategori Uji 15</v>
      </c>
      <c r="AK15" s="33">
        <f>SUMIFS(JulyTable[Jumlah (Rp)],JulyTable[Tipe],"Pengeluaran",JulyTable[Kategori],AJ15)</f>
        <v>0</v>
      </c>
      <c r="AL15" s="33">
        <f>SUMIFS(JuneTable[Jumlah (Rp)],JuneTable[Tipe],"Pengeluaran",JuneTable[Kategori],AJ15)</f>
        <v>0</v>
      </c>
      <c r="AM15" s="33">
        <f t="shared" si="0"/>
        <v>1.5E-5</v>
      </c>
      <c r="AN15" s="33"/>
      <c r="AO15" s="33"/>
    </row>
    <row r="16" spans="1:41" ht="24.75" customHeight="1" x14ac:dyDescent="0.25">
      <c r="A16" s="5"/>
      <c r="B16" s="3"/>
      <c r="C16" s="3"/>
      <c r="D16" s="3"/>
      <c r="E16" s="6"/>
      <c r="F16" s="4"/>
      <c r="H16" s="10" t="s">
        <v>92</v>
      </c>
      <c r="I16" s="7"/>
      <c r="K16" s="54" t="s">
        <v>57</v>
      </c>
      <c r="L16" s="53"/>
      <c r="M16" s="37">
        <f ca="1">O6</f>
        <v>0</v>
      </c>
      <c r="N16" s="33"/>
      <c r="O16" s="33"/>
      <c r="P16" s="33"/>
      <c r="Q16" s="33"/>
      <c r="R16" s="33"/>
      <c r="S16" s="33"/>
      <c r="T16" s="33"/>
      <c r="U16" s="33"/>
      <c r="V16" s="33"/>
      <c r="AD16" s="33"/>
      <c r="AE16" s="33"/>
      <c r="AF16" s="33">
        <v>15</v>
      </c>
      <c r="AG16" s="33">
        <f t="shared" si="1"/>
        <v>46218</v>
      </c>
      <c r="AH16" s="33">
        <f ca="1">IF(OR(AF16&gt;$AD$4,AF16&gt;$AD$3),NA(),SUMIFS(JulyTable[Jumlah (Rp)],JulyTable[Tipe],"Pengeluaran",JulyTable[Tanggal],"&lt;="&amp;AG16))</f>
        <v>0</v>
      </c>
      <c r="AI16" s="33">
        <f>IF(AF16&gt;$AD$4,NA(),Rekap!$B$19/$AD$4*AF16)</f>
        <v>114798.3870967742</v>
      </c>
      <c r="AJ16" s="33" t="str">
        <f>Master!$A$20</f>
        <v>Kategori Uji 16</v>
      </c>
      <c r="AK16" s="33">
        <f>SUMIFS(JulyTable[Jumlah (Rp)],JulyTable[Tipe],"Pengeluaran",JulyTable[Kategori],AJ16)</f>
        <v>0</v>
      </c>
      <c r="AL16" s="33">
        <f>SUMIFS(JuneTable[Jumlah (Rp)],JuneTable[Tipe],"Pengeluaran",JuneTable[Kategori],AJ16)</f>
        <v>0</v>
      </c>
      <c r="AM16" s="33">
        <f t="shared" si="0"/>
        <v>1.5999999999999999E-5</v>
      </c>
      <c r="AN16" s="33"/>
      <c r="AO16" s="33"/>
    </row>
    <row r="17" spans="1:41" ht="24.75" customHeight="1" x14ac:dyDescent="0.25">
      <c r="A17" s="5"/>
      <c r="B17" s="3"/>
      <c r="C17" s="3"/>
      <c r="D17" s="3"/>
      <c r="E17" s="6"/>
      <c r="F17" s="4"/>
      <c r="K17" s="54" t="s">
        <v>78</v>
      </c>
      <c r="L17" s="53"/>
      <c r="M17" s="37">
        <f ca="1">M15+M16</f>
        <v>0</v>
      </c>
      <c r="N17" s="33"/>
      <c r="O17" s="33"/>
      <c r="P17" s="33"/>
      <c r="Q17" s="33"/>
      <c r="R17" s="43" t="s">
        <v>98</v>
      </c>
      <c r="S17" s="33"/>
      <c r="T17" s="33"/>
      <c r="U17" s="33"/>
      <c r="V17" s="33"/>
      <c r="AD17" s="33"/>
      <c r="AE17" s="33"/>
      <c r="AF17" s="33">
        <v>16</v>
      </c>
      <c r="AG17" s="33">
        <f t="shared" si="1"/>
        <v>46219</v>
      </c>
      <c r="AH17" s="33">
        <f ca="1">IF(OR(AF17&gt;$AD$4,AF17&gt;$AD$3),NA(),SUMIFS(JulyTable[Jumlah (Rp)],JulyTable[Tipe],"Pengeluaran",JulyTable[Tanggal],"&lt;="&amp;AG17))</f>
        <v>0</v>
      </c>
      <c r="AI17" s="33">
        <f>IF(AF17&gt;$AD$4,NA(),Rekap!$B$19/$AD$4*AF17)</f>
        <v>122451.6129032258</v>
      </c>
      <c r="AJ17" s="33" t="str">
        <f>Master!$A$21</f>
        <v>Kategori Uji 17</v>
      </c>
      <c r="AK17" s="33">
        <f>SUMIFS(JulyTable[Jumlah (Rp)],JulyTable[Tipe],"Pengeluaran",JulyTable[Kategori],AJ17)</f>
        <v>0</v>
      </c>
      <c r="AL17" s="33">
        <f>SUMIFS(JuneTable[Jumlah (Rp)],JuneTable[Tipe],"Pengeluaran",JuneTable[Kategori],AJ17)</f>
        <v>0</v>
      </c>
      <c r="AM17" s="33">
        <f t="shared" si="0"/>
        <v>1.7E-5</v>
      </c>
      <c r="AN17" s="33"/>
      <c r="AO17" s="33"/>
    </row>
    <row r="18" spans="1:41" ht="24.75" customHeight="1" x14ac:dyDescent="0.25">
      <c r="A18" s="5"/>
      <c r="B18" s="3"/>
      <c r="C18" s="3"/>
      <c r="D18" s="3"/>
      <c r="E18" s="6"/>
      <c r="F18" s="4"/>
      <c r="K18" s="54" t="s">
        <v>79</v>
      </c>
      <c r="L18" s="53"/>
      <c r="M18" s="37">
        <f ca="1">M29</f>
        <v>0</v>
      </c>
      <c r="N18" s="33"/>
      <c r="O18" s="33"/>
      <c r="P18" s="33"/>
      <c r="Q18" s="33"/>
      <c r="R18" s="34" t="s">
        <v>25</v>
      </c>
      <c r="S18" s="34" t="s">
        <v>100</v>
      </c>
      <c r="T18" s="34" t="s">
        <v>101</v>
      </c>
      <c r="U18" s="34" t="s">
        <v>5</v>
      </c>
      <c r="V18" s="34" t="s">
        <v>95</v>
      </c>
      <c r="AD18" s="33"/>
      <c r="AE18" s="33"/>
      <c r="AF18" s="33">
        <v>17</v>
      </c>
      <c r="AG18" s="33">
        <f t="shared" si="1"/>
        <v>46220</v>
      </c>
      <c r="AH18" s="33">
        <f ca="1">IF(OR(AF18&gt;$AD$4,AF18&gt;$AD$3),NA(),SUMIFS(JulyTable[Jumlah (Rp)],JulyTable[Tipe],"Pengeluaran",JulyTable[Tanggal],"&lt;="&amp;AG18))</f>
        <v>0</v>
      </c>
      <c r="AI18" s="33">
        <f>IF(AF18&gt;$AD$4,NA(),Rekap!$B$19/$AD$4*AF18)</f>
        <v>130104.83870967741</v>
      </c>
      <c r="AJ18" s="33" t="str">
        <f>Master!$A$22</f>
        <v>Kategori Uji 18</v>
      </c>
      <c r="AK18" s="33">
        <f>SUMIFS(JulyTable[Jumlah (Rp)],JulyTable[Tipe],"Pengeluaran",JulyTable[Kategori],AJ18)</f>
        <v>0</v>
      </c>
      <c r="AL18" s="33">
        <f>SUMIFS(JuneTable[Jumlah (Rp)],JuneTable[Tipe],"Pengeluaran",JuneTable[Kategori],AJ18)</f>
        <v>0</v>
      </c>
      <c r="AM18" s="33">
        <f t="shared" si="0"/>
        <v>1.8E-5</v>
      </c>
      <c r="AN18" s="33"/>
      <c r="AO18" s="33"/>
    </row>
    <row r="19" spans="1:41" ht="24.75" customHeight="1" x14ac:dyDescent="0.25">
      <c r="A19" s="5"/>
      <c r="B19" s="3"/>
      <c r="C19" s="3"/>
      <c r="D19" s="3"/>
      <c r="E19" s="6"/>
      <c r="F19" s="4"/>
      <c r="K19" s="52" t="s">
        <v>80</v>
      </c>
      <c r="L19" s="53"/>
      <c r="M19" s="42">
        <f ca="1">M17-M18</f>
        <v>0</v>
      </c>
      <c r="N19" s="33"/>
      <c r="O19" s="33"/>
      <c r="P19" s="33"/>
      <c r="Q19" s="33"/>
      <c r="R19" s="35" t="str">
        <f>IF($AO$1=0,"",INDEX($AJ$1:$AJ$23,$AO$1))</f>
        <v>Kategori Uji 24</v>
      </c>
      <c r="S19" s="37">
        <f>IF($AO$1=0,"",INDEX($AL$1:$AL$23,$AO$1))</f>
        <v>0</v>
      </c>
      <c r="T19" s="37">
        <f>IF($AO$1=0,"",INDEX($AK$1:$AK$23,$AO$1))</f>
        <v>0</v>
      </c>
      <c r="U19" s="37">
        <f>IF($R19="","",T19-S19)</f>
        <v>0</v>
      </c>
      <c r="V19" s="48" t="str">
        <f>IFERROR(U19/S19,"")</f>
        <v/>
      </c>
      <c r="AD19" s="33"/>
      <c r="AE19" s="33"/>
      <c r="AF19" s="33">
        <v>18</v>
      </c>
      <c r="AG19" s="33">
        <f t="shared" si="1"/>
        <v>46221</v>
      </c>
      <c r="AH19" s="33">
        <f ca="1">IF(OR(AF19&gt;$AD$4,AF19&gt;$AD$3),NA(),SUMIFS(JulyTable[Jumlah (Rp)],JulyTable[Tipe],"Pengeluaran",JulyTable[Tanggal],"&lt;="&amp;AG19))</f>
        <v>0</v>
      </c>
      <c r="AI19" s="33">
        <f>IF(AF19&gt;$AD$4,NA(),Rekap!$B$19/$AD$4*AF19)</f>
        <v>137758.06451612903</v>
      </c>
      <c r="AJ19" s="33" t="str">
        <f>Master!$A$23</f>
        <v>Kategori Uji 19</v>
      </c>
      <c r="AK19" s="33">
        <f>SUMIFS(JulyTable[Jumlah (Rp)],JulyTable[Tipe],"Pengeluaran",JulyTable[Kategori],AJ19)</f>
        <v>0</v>
      </c>
      <c r="AL19" s="33">
        <f>SUMIFS(JuneTable[Jumlah (Rp)],JuneTable[Tipe],"Pengeluaran",JuneTable[Kategori],AJ19)</f>
        <v>0</v>
      </c>
      <c r="AM19" s="33">
        <f t="shared" si="0"/>
        <v>1.9000000000000001E-5</v>
      </c>
      <c r="AN19" s="33"/>
      <c r="AO19" s="33"/>
    </row>
    <row r="20" spans="1:41" ht="24.75" customHeight="1" x14ac:dyDescent="0.25">
      <c r="A20" s="5"/>
      <c r="B20" s="3"/>
      <c r="C20" s="3"/>
      <c r="D20" s="3"/>
      <c r="E20" s="6"/>
      <c r="F20" s="4"/>
      <c r="K20" s="52" t="s">
        <v>81</v>
      </c>
      <c r="L20" s="53"/>
      <c r="M20" s="42">
        <f ca="1">D1+M17-M18</f>
        <v>0</v>
      </c>
      <c r="N20" s="33"/>
      <c r="O20" s="33"/>
      <c r="P20" s="33"/>
      <c r="Q20" s="33"/>
      <c r="R20" s="35" t="str">
        <f>IF($AO$2=0,"",INDEX($AJ$1:$AJ$23,$AO$2))</f>
        <v>Kategori Uji 23</v>
      </c>
      <c r="S20" s="37">
        <f>IF($AO$2=0,"",INDEX($AL$1:$AL$23,$AO$2))</f>
        <v>0</v>
      </c>
      <c r="T20" s="37">
        <f>IF($AO$2=0,"",INDEX($AK$1:$AK$23,$AO$2))</f>
        <v>0</v>
      </c>
      <c r="U20" s="37">
        <f>IF($R20="","",T20-S20)</f>
        <v>0</v>
      </c>
      <c r="V20" s="48" t="str">
        <f>IFERROR(U20/S20,"")</f>
        <v/>
      </c>
      <c r="AD20" s="33"/>
      <c r="AE20" s="33"/>
      <c r="AF20" s="33">
        <v>19</v>
      </c>
      <c r="AG20" s="33">
        <f t="shared" si="1"/>
        <v>46222</v>
      </c>
      <c r="AH20" s="33">
        <f ca="1">IF(OR(AF20&gt;$AD$4,AF20&gt;$AD$3),NA(),SUMIFS(JulyTable[Jumlah (Rp)],JulyTable[Tipe],"Pengeluaran",JulyTable[Tanggal],"&lt;="&amp;AG20))</f>
        <v>0</v>
      </c>
      <c r="AI20" s="33">
        <f>IF(AF20&gt;$AD$4,NA(),Rekap!$B$19/$AD$4*AF20)</f>
        <v>145411.29032258064</v>
      </c>
      <c r="AJ20" s="33" t="str">
        <f>Master!$A$24</f>
        <v>Kategori Uji 20</v>
      </c>
      <c r="AK20" s="33">
        <f>SUMIFS(JulyTable[Jumlah (Rp)],JulyTable[Tipe],"Pengeluaran",JulyTable[Kategori],AJ20)</f>
        <v>0</v>
      </c>
      <c r="AL20" s="33">
        <f>SUMIFS(JuneTable[Jumlah (Rp)],JuneTable[Tipe],"Pengeluaran",JuneTable[Kategori],AJ20)</f>
        <v>0</v>
      </c>
      <c r="AM20" s="33">
        <f t="shared" si="0"/>
        <v>2.0000000000000002E-5</v>
      </c>
      <c r="AN20" s="33"/>
      <c r="AO20" s="33"/>
    </row>
    <row r="21" spans="1:41" ht="24.75" customHeight="1" x14ac:dyDescent="0.25">
      <c r="A21" s="5"/>
      <c r="B21" s="3"/>
      <c r="C21" s="3"/>
      <c r="D21" s="3"/>
      <c r="E21" s="6"/>
      <c r="F21" s="4"/>
      <c r="K21" s="46" t="s">
        <v>82</v>
      </c>
      <c r="L21" s="33"/>
      <c r="M21" s="33"/>
      <c r="N21" s="33"/>
      <c r="O21" s="33"/>
      <c r="P21" s="33"/>
      <c r="Q21" s="33"/>
      <c r="R21" s="35" t="str">
        <f>IF($AO$3=0,"",INDEX($AJ$1:$AJ$23,$AO$3))</f>
        <v>Kategori Uji 21</v>
      </c>
      <c r="S21" s="37">
        <f>IF($AO$3=0,"",INDEX($AL$1:$AL$23,$AO$3))</f>
        <v>0</v>
      </c>
      <c r="T21" s="37">
        <f>IF($AO$3=0,"",INDEX($AK$1:$AK$23,$AO$3))</f>
        <v>0</v>
      </c>
      <c r="U21" s="37">
        <f>IF($R21="","",T21-S21)</f>
        <v>0</v>
      </c>
      <c r="V21" s="48" t="str">
        <f>IFERROR(U21/S21,"")</f>
        <v/>
      </c>
      <c r="AD21" s="33"/>
      <c r="AE21" s="33"/>
      <c r="AF21" s="33">
        <v>20</v>
      </c>
      <c r="AG21" s="33">
        <f t="shared" si="1"/>
        <v>46223</v>
      </c>
      <c r="AH21" s="33">
        <f ca="1">IF(OR(AF21&gt;$AD$4,AF21&gt;$AD$3),NA(),SUMIFS(JulyTable[Jumlah (Rp)],JulyTable[Tipe],"Pengeluaran",JulyTable[Tanggal],"&lt;="&amp;AG21))</f>
        <v>0</v>
      </c>
      <c r="AI21" s="33">
        <f>IF(AF21&gt;$AD$4,NA(),Rekap!$B$19/$AD$4*AF21)</f>
        <v>153064.51612903224</v>
      </c>
      <c r="AJ21" s="33" t="str">
        <f>Master!$A$25</f>
        <v>Kategori Uji 21</v>
      </c>
      <c r="AK21" s="33">
        <f>SUMIFS(JulyTable[Jumlah (Rp)],JulyTable[Tipe],"Pengeluaran",JulyTable[Kategori],AJ21)</f>
        <v>0</v>
      </c>
      <c r="AL21" s="33">
        <f>SUMIFS(JuneTable[Jumlah (Rp)],JuneTable[Tipe],"Pengeluaran",JuneTable[Kategori],AJ21)</f>
        <v>0</v>
      </c>
      <c r="AM21" s="33">
        <f t="shared" si="0"/>
        <v>2.0999999999999999E-5</v>
      </c>
      <c r="AN21" s="33"/>
      <c r="AO21" s="33"/>
    </row>
    <row r="22" spans="1:41" ht="24.75" customHeight="1" x14ac:dyDescent="0.25">
      <c r="A22" s="5"/>
      <c r="B22" s="3"/>
      <c r="C22" s="3"/>
      <c r="D22" s="3"/>
      <c r="E22" s="6"/>
      <c r="F22" s="4"/>
      <c r="K22" s="33"/>
      <c r="L22" s="33"/>
      <c r="M22" s="33"/>
      <c r="N22" s="33"/>
      <c r="O22" s="33"/>
      <c r="P22" s="33"/>
      <c r="Q22" s="33"/>
      <c r="R22" s="35" t="str">
        <f>IF($AO$4=0,"",INDEX($AJ$1:$AJ$23,$AO$4))</f>
        <v>Kategori Uji 20</v>
      </c>
      <c r="S22" s="37">
        <f>IF($AO$4=0,"",INDEX($AL$1:$AL$23,$AO$4))</f>
        <v>0</v>
      </c>
      <c r="T22" s="37">
        <f>IF($AO$4=0,"",INDEX($AK$1:$AK$23,$AO$4))</f>
        <v>0</v>
      </c>
      <c r="U22" s="37">
        <f>IF($R22="","",T22-S22)</f>
        <v>0</v>
      </c>
      <c r="V22" s="48" t="str">
        <f>IFERROR(U22/S22,"")</f>
        <v/>
      </c>
      <c r="AD22" s="33"/>
      <c r="AE22" s="33"/>
      <c r="AF22" s="33">
        <v>21</v>
      </c>
      <c r="AG22" s="33">
        <f t="shared" si="1"/>
        <v>46224</v>
      </c>
      <c r="AH22" s="33">
        <f ca="1">IF(OR(AF22&gt;$AD$4,AF22&gt;$AD$3),NA(),SUMIFS(JulyTable[Jumlah (Rp)],JulyTable[Tipe],"Pengeluaran",JulyTable[Tanggal],"&lt;="&amp;AG22))</f>
        <v>0</v>
      </c>
      <c r="AI22" s="33">
        <f>IF(AF22&gt;$AD$4,NA(),Rekap!$B$19/$AD$4*AF22)</f>
        <v>160717.74193548388</v>
      </c>
      <c r="AJ22" s="33" t="str">
        <f>Master!$A$27</f>
        <v>Kategori Uji 23</v>
      </c>
      <c r="AK22" s="33">
        <f>SUMIFS(JulyTable[Jumlah (Rp)],JulyTable[Tipe],"Pengeluaran",JulyTable[Kategori],AJ22)</f>
        <v>0</v>
      </c>
      <c r="AL22" s="33">
        <f>SUMIFS(JuneTable[Jumlah (Rp)],JuneTable[Tipe],"Pengeluaran",JuneTable[Kategori],AJ22)</f>
        <v>0</v>
      </c>
      <c r="AM22" s="33">
        <f t="shared" si="0"/>
        <v>2.1999999999999999E-5</v>
      </c>
      <c r="AN22" s="33"/>
      <c r="AO22" s="33"/>
    </row>
    <row r="23" spans="1:41" ht="24.75" customHeight="1" x14ac:dyDescent="0.25">
      <c r="A23" s="5"/>
      <c r="B23" s="3"/>
      <c r="C23" s="3"/>
      <c r="D23" s="3"/>
      <c r="E23" s="6"/>
      <c r="F23" s="4"/>
      <c r="K23" s="32" t="s">
        <v>83</v>
      </c>
      <c r="L23" s="33"/>
      <c r="M23" s="33"/>
      <c r="N23" s="33"/>
      <c r="O23" s="33"/>
      <c r="P23" s="33"/>
      <c r="Q23" s="33"/>
      <c r="R23" s="35" t="str">
        <f>IF($AO$5=0,"",INDEX($AJ$1:$AJ$23,$AO$5))</f>
        <v>Kategori Uji 19</v>
      </c>
      <c r="S23" s="37">
        <f>IF($AO$5=0,"",INDEX($AL$1:$AL$23,$AO$5))</f>
        <v>0</v>
      </c>
      <c r="T23" s="37">
        <f>IF($AO$5=0,"",INDEX($AK$1:$AK$23,$AO$5))</f>
        <v>0</v>
      </c>
      <c r="U23" s="37">
        <f>IF($R23="","",T23-S23)</f>
        <v>0</v>
      </c>
      <c r="V23" s="48" t="str">
        <f>IFERROR(U23/S23,"")</f>
        <v/>
      </c>
      <c r="AD23" s="33"/>
      <c r="AE23" s="33"/>
      <c r="AF23" s="33">
        <v>22</v>
      </c>
      <c r="AG23" s="33">
        <f t="shared" si="1"/>
        <v>46225</v>
      </c>
      <c r="AH23" s="33">
        <f ca="1">IF(OR(AF23&gt;$AD$4,AF23&gt;$AD$3),NA(),SUMIFS(JulyTable[Jumlah (Rp)],JulyTable[Tipe],"Pengeluaran",JulyTable[Tanggal],"&lt;="&amp;AG23))</f>
        <v>0</v>
      </c>
      <c r="AI23" s="33">
        <f>IF(AF23&gt;$AD$4,NA(),Rekap!$B$19/$AD$4*AF23)</f>
        <v>168370.96774193548</v>
      </c>
      <c r="AJ23" s="33" t="str">
        <f>Master!$A$28</f>
        <v>Kategori Uji 24</v>
      </c>
      <c r="AK23" s="33">
        <f>SUMIFS(JulyTable[Jumlah (Rp)],JulyTable[Tipe],"Pengeluaran",JulyTable[Kategori],AJ23)</f>
        <v>0</v>
      </c>
      <c r="AL23" s="33">
        <f>SUMIFS(JuneTable[Jumlah (Rp)],JuneTable[Tipe],"Pengeluaran",JuneTable[Kategori],AJ23)</f>
        <v>0</v>
      </c>
      <c r="AM23" s="33">
        <f t="shared" si="0"/>
        <v>2.3E-5</v>
      </c>
      <c r="AN23" s="33"/>
      <c r="AO23" s="33"/>
    </row>
    <row r="24" spans="1:41" ht="24.75" customHeight="1" x14ac:dyDescent="0.25">
      <c r="A24" s="5"/>
      <c r="B24" s="3"/>
      <c r="C24" s="3"/>
      <c r="D24" s="3"/>
      <c r="E24" s="6"/>
      <c r="F24" s="4"/>
      <c r="K24" s="56" t="s">
        <v>84</v>
      </c>
      <c r="L24" s="53"/>
      <c r="M24" s="34" t="s">
        <v>70</v>
      </c>
      <c r="N24" s="33"/>
      <c r="O24" s="33"/>
      <c r="P24" s="33"/>
      <c r="Q24" s="33"/>
      <c r="R24" s="33"/>
      <c r="S24" s="33"/>
      <c r="T24" s="33"/>
      <c r="U24" s="33"/>
      <c r="V24" s="33"/>
      <c r="AD24" s="33"/>
      <c r="AE24" s="33"/>
      <c r="AF24" s="33">
        <v>23</v>
      </c>
      <c r="AG24" s="33">
        <f t="shared" si="1"/>
        <v>46226</v>
      </c>
      <c r="AH24" s="33">
        <f ca="1">IF(OR(AF24&gt;$AD$4,AF24&gt;$AD$3),NA(),SUMIFS(JulyTable[Jumlah (Rp)],JulyTable[Tipe],"Pengeluaran",JulyTable[Tanggal],"&lt;="&amp;AG24))</f>
        <v>0</v>
      </c>
      <c r="AI24" s="33">
        <f>IF(AF24&gt;$AD$4,NA(),Rekap!$B$19/$AD$4*AF24)</f>
        <v>176024.19354838709</v>
      </c>
      <c r="AJ24" s="33"/>
      <c r="AK24" s="33"/>
      <c r="AL24" s="33"/>
      <c r="AM24" s="33"/>
      <c r="AN24" s="33"/>
      <c r="AO24" s="33"/>
    </row>
    <row r="25" spans="1:41" ht="24.75" customHeight="1" x14ac:dyDescent="0.25">
      <c r="A25" s="5"/>
      <c r="B25" s="3"/>
      <c r="C25" s="3"/>
      <c r="D25" s="3"/>
      <c r="E25" s="6"/>
      <c r="F25" s="4"/>
      <c r="K25" s="54" t="s">
        <v>85</v>
      </c>
      <c r="L25" s="53"/>
      <c r="M25" s="47">
        <f ca="1">AD3</f>
        <v>31</v>
      </c>
      <c r="N25" s="33"/>
      <c r="O25" s="33"/>
      <c r="P25" s="33"/>
      <c r="Q25" s="33"/>
      <c r="R25" s="32" t="s">
        <v>86</v>
      </c>
      <c r="S25" s="33"/>
      <c r="T25" s="33"/>
      <c r="U25" s="33"/>
      <c r="V25" s="33"/>
      <c r="AD25" s="33"/>
      <c r="AE25" s="33"/>
      <c r="AF25" s="33">
        <v>24</v>
      </c>
      <c r="AG25" s="33">
        <f t="shared" si="1"/>
        <v>46227</v>
      </c>
      <c r="AH25" s="33">
        <f ca="1">IF(OR(AF25&gt;$AD$4,AF25&gt;$AD$3),NA(),SUMIFS(JulyTable[Jumlah (Rp)],JulyTable[Tipe],"Pengeluaran",JulyTable[Tanggal],"&lt;="&amp;AG25))</f>
        <v>0</v>
      </c>
      <c r="AI25" s="33">
        <f>IF(AF25&gt;$AD$4,NA(),Rekap!$B$19/$AD$4*AF25)</f>
        <v>183677.4193548387</v>
      </c>
      <c r="AJ25" s="33"/>
      <c r="AK25" s="33"/>
      <c r="AL25" s="33"/>
      <c r="AM25" s="33"/>
      <c r="AN25" s="33"/>
      <c r="AO25" s="33"/>
    </row>
    <row r="26" spans="1:41" ht="24.75" customHeight="1" x14ac:dyDescent="0.25">
      <c r="A26" s="5"/>
      <c r="B26" s="3"/>
      <c r="C26" s="3"/>
      <c r="D26" s="3"/>
      <c r="E26" s="6"/>
      <c r="F26" s="4"/>
      <c r="K26" s="54" t="s">
        <v>87</v>
      </c>
      <c r="L26" s="53"/>
      <c r="M26" s="47">
        <f>AD4</f>
        <v>31</v>
      </c>
      <c r="N26" s="33"/>
      <c r="O26" s="33"/>
      <c r="P26" s="33"/>
      <c r="Q26" s="33"/>
      <c r="R26" s="33"/>
      <c r="S26" s="33"/>
      <c r="T26" s="33"/>
      <c r="U26" s="33"/>
      <c r="V26" s="33"/>
      <c r="AD26" s="33"/>
      <c r="AE26" s="33"/>
      <c r="AF26" s="33">
        <v>25</v>
      </c>
      <c r="AG26" s="33">
        <f t="shared" si="1"/>
        <v>46228</v>
      </c>
      <c r="AH26" s="33">
        <f ca="1">IF(OR(AF26&gt;$AD$4,AF26&gt;$AD$3),NA(),SUMIFS(JulyTable[Jumlah (Rp)],JulyTable[Tipe],"Pengeluaran",JulyTable[Tanggal],"&lt;="&amp;AG26))</f>
        <v>0</v>
      </c>
      <c r="AI26" s="33">
        <f>IF(AF26&gt;$AD$4,NA(),Rekap!$B$19/$AD$4*AF26)</f>
        <v>191330.6451612903</v>
      </c>
      <c r="AJ26" s="33"/>
      <c r="AK26" s="33"/>
      <c r="AL26" s="33"/>
      <c r="AM26" s="33"/>
      <c r="AN26" s="33"/>
      <c r="AO26" s="33"/>
    </row>
    <row r="27" spans="1:41" ht="24.75" customHeight="1" x14ac:dyDescent="0.25">
      <c r="A27" s="5"/>
      <c r="B27" s="3"/>
      <c r="C27" s="3"/>
      <c r="D27" s="3"/>
      <c r="E27" s="6"/>
      <c r="F27" s="4"/>
      <c r="K27" s="54" t="s">
        <v>88</v>
      </c>
      <c r="L27" s="53"/>
      <c r="M27" s="37">
        <f>D3</f>
        <v>0</v>
      </c>
      <c r="N27" s="33"/>
      <c r="O27" s="33"/>
      <c r="P27" s="33"/>
      <c r="Q27" s="33"/>
      <c r="R27" s="33"/>
      <c r="S27" s="33"/>
      <c r="T27" s="33"/>
      <c r="U27" s="33"/>
      <c r="V27" s="33"/>
      <c r="AD27" s="33"/>
      <c r="AE27" s="33"/>
      <c r="AF27" s="33">
        <v>26</v>
      </c>
      <c r="AG27" s="33">
        <f t="shared" si="1"/>
        <v>46229</v>
      </c>
      <c r="AH27" s="33">
        <f ca="1">IF(OR(AF27&gt;$AD$4,AF27&gt;$AD$3),NA(),SUMIFS(JulyTable[Jumlah (Rp)],JulyTable[Tipe],"Pengeluaran",JulyTable[Tanggal],"&lt;="&amp;AG27))</f>
        <v>0</v>
      </c>
      <c r="AI27" s="33">
        <f>IF(AF27&gt;$AD$4,NA(),Rekap!$B$19/$AD$4*AF27)</f>
        <v>198983.87096774194</v>
      </c>
      <c r="AJ27" s="33"/>
      <c r="AK27" s="33"/>
      <c r="AL27" s="33"/>
      <c r="AM27" s="33"/>
      <c r="AN27" s="33"/>
      <c r="AO27" s="33"/>
    </row>
    <row r="28" spans="1:41" ht="24.75" customHeight="1" x14ac:dyDescent="0.25">
      <c r="A28" s="5"/>
      <c r="B28" s="3"/>
      <c r="C28" s="3"/>
      <c r="D28" s="3"/>
      <c r="E28" s="6"/>
      <c r="F28" s="4"/>
      <c r="K28" s="54" t="s">
        <v>89</v>
      </c>
      <c r="L28" s="53"/>
      <c r="M28" s="37">
        <f ca="1">IFERROR(M27/M25,0)</f>
        <v>0</v>
      </c>
      <c r="N28" s="33"/>
      <c r="O28" s="33"/>
      <c r="P28" s="33"/>
      <c r="Q28" s="33"/>
      <c r="R28" s="33"/>
      <c r="S28" s="33"/>
      <c r="T28" s="33"/>
      <c r="U28" s="33"/>
      <c r="V28" s="33"/>
      <c r="AD28" s="33"/>
      <c r="AE28" s="33"/>
      <c r="AF28" s="33">
        <v>27</v>
      </c>
      <c r="AG28" s="33">
        <f t="shared" si="1"/>
        <v>46230</v>
      </c>
      <c r="AH28" s="33">
        <f ca="1">IF(OR(AF28&gt;$AD$4,AF28&gt;$AD$3),NA(),SUMIFS(JulyTable[Jumlah (Rp)],JulyTable[Tipe],"Pengeluaran",JulyTable[Tanggal],"&lt;="&amp;AG28))</f>
        <v>0</v>
      </c>
      <c r="AI28" s="33">
        <f>IF(AF28&gt;$AD$4,NA(),Rekap!$B$19/$AD$4*AF28)</f>
        <v>206637.09677419355</v>
      </c>
      <c r="AJ28" s="33"/>
      <c r="AK28" s="33"/>
      <c r="AL28" s="33"/>
      <c r="AM28" s="33"/>
      <c r="AN28" s="33"/>
      <c r="AO28" s="33"/>
    </row>
    <row r="29" spans="1:41" ht="24.75" customHeight="1" x14ac:dyDescent="0.25">
      <c r="A29" s="5"/>
      <c r="B29" s="3"/>
      <c r="C29" s="3"/>
      <c r="D29" s="3"/>
      <c r="E29" s="6"/>
      <c r="F29" s="4"/>
      <c r="K29" s="52" t="s">
        <v>90</v>
      </c>
      <c r="L29" s="53"/>
      <c r="M29" s="42">
        <f ca="1">M28*M26</f>
        <v>0</v>
      </c>
      <c r="N29" s="33"/>
      <c r="O29" s="33"/>
      <c r="P29" s="33"/>
      <c r="Q29" s="33"/>
      <c r="R29" s="33"/>
      <c r="S29" s="33"/>
      <c r="T29" s="33"/>
      <c r="U29" s="33"/>
      <c r="V29" s="33"/>
      <c r="AD29" s="33"/>
      <c r="AE29" s="33"/>
      <c r="AF29" s="33">
        <v>28</v>
      </c>
      <c r="AG29" s="33">
        <f t="shared" si="1"/>
        <v>46231</v>
      </c>
      <c r="AH29" s="33">
        <f ca="1">IF(OR(AF29&gt;$AD$4,AF29&gt;$AD$3),NA(),SUMIFS(JulyTable[Jumlah (Rp)],JulyTable[Tipe],"Pengeluaran",JulyTable[Tanggal],"&lt;="&amp;AG29))</f>
        <v>0</v>
      </c>
      <c r="AI29" s="33">
        <f>IF(AF29&gt;$AD$4,NA(),Rekap!$B$19/$AD$4*AF29)</f>
        <v>214290.32258064515</v>
      </c>
      <c r="AJ29" s="33"/>
      <c r="AK29" s="33"/>
      <c r="AL29" s="33"/>
      <c r="AM29" s="33"/>
      <c r="AN29" s="33"/>
      <c r="AO29" s="33"/>
    </row>
    <row r="30" spans="1:41" ht="24.75" customHeight="1" x14ac:dyDescent="0.25">
      <c r="A30" s="5"/>
      <c r="B30" s="3"/>
      <c r="C30" s="3"/>
      <c r="D30" s="3"/>
      <c r="E30" s="6"/>
      <c r="F30" s="4"/>
      <c r="K30" s="54" t="s">
        <v>91</v>
      </c>
      <c r="L30" s="53"/>
      <c r="M30" s="37">
        <f>Rekap!$B$19</f>
        <v>237250</v>
      </c>
      <c r="N30" s="33"/>
      <c r="O30" s="33"/>
      <c r="P30" s="33"/>
      <c r="Q30" s="33"/>
      <c r="R30" s="33"/>
      <c r="S30" s="33"/>
      <c r="T30" s="33"/>
      <c r="U30" s="33"/>
      <c r="V30" s="33"/>
      <c r="AD30" s="33"/>
      <c r="AE30" s="33"/>
      <c r="AF30" s="33">
        <v>29</v>
      </c>
      <c r="AG30" s="33">
        <f t="shared" si="1"/>
        <v>46232</v>
      </c>
      <c r="AH30" s="33">
        <f ca="1">IF(OR(AF30&gt;$AD$4,AF30&gt;$AD$3),NA(),SUMIFS(JulyTable[Jumlah (Rp)],JulyTable[Tipe],"Pengeluaran",JulyTable[Tanggal],"&lt;="&amp;AG30))</f>
        <v>0</v>
      </c>
      <c r="AI30" s="33">
        <f>IF(AF30&gt;$AD$4,NA(),Rekap!$B$19/$AD$4*AF30)</f>
        <v>221943.54838709676</v>
      </c>
      <c r="AJ30" s="33"/>
      <c r="AK30" s="33"/>
      <c r="AL30" s="33"/>
      <c r="AM30" s="33"/>
      <c r="AN30" s="33"/>
      <c r="AO30" s="33"/>
    </row>
    <row r="31" spans="1:41" ht="24.75" customHeight="1" x14ac:dyDescent="0.25">
      <c r="A31" s="5"/>
      <c r="B31" s="3"/>
      <c r="C31" s="3"/>
      <c r="D31" s="3"/>
      <c r="E31" s="6"/>
      <c r="F31" s="4"/>
      <c r="K31" s="54" t="s">
        <v>93</v>
      </c>
      <c r="L31" s="53"/>
      <c r="M31" s="37">
        <f>SUM(Master!$C$5:$C$81)</f>
        <v>30000000</v>
      </c>
      <c r="N31" s="33"/>
      <c r="O31" s="33"/>
      <c r="P31" s="33"/>
      <c r="Q31" s="33"/>
      <c r="R31" s="33"/>
      <c r="S31" s="33"/>
      <c r="T31" s="33"/>
      <c r="U31" s="33"/>
      <c r="V31" s="33"/>
      <c r="AD31" s="33"/>
      <c r="AE31" s="33"/>
      <c r="AF31" s="33">
        <v>30</v>
      </c>
      <c r="AG31" s="33">
        <f t="shared" si="1"/>
        <v>46233</v>
      </c>
      <c r="AH31" s="33">
        <f ca="1">IF(OR(AF31&gt;$AD$4,AF31&gt;$AD$3),NA(),SUMIFS(JulyTable[Jumlah (Rp)],JulyTable[Tipe],"Pengeluaran",JulyTable[Tanggal],"&lt;="&amp;AG31))</f>
        <v>0</v>
      </c>
      <c r="AI31" s="33">
        <f>IF(AF31&gt;$AD$4,NA(),Rekap!$B$19/$AD$4*AF31)</f>
        <v>229596.77419354839</v>
      </c>
      <c r="AJ31" s="33"/>
      <c r="AK31" s="33"/>
      <c r="AL31" s="33"/>
      <c r="AM31" s="33"/>
      <c r="AN31" s="33"/>
      <c r="AO31" s="33"/>
    </row>
    <row r="32" spans="1:41" ht="24.75" customHeight="1" x14ac:dyDescent="0.25">
      <c r="A32" s="5"/>
      <c r="B32" s="3"/>
      <c r="C32" s="3"/>
      <c r="D32" s="3"/>
      <c r="E32" s="6"/>
      <c r="F32" s="4"/>
      <c r="K32" s="52" t="s">
        <v>58</v>
      </c>
      <c r="L32" s="53"/>
      <c r="M32" s="40" t="str">
        <f ca="1">IF(M25=0,"belum mulai",IF(M29&gt;M30,"di atas kebiasaan","di bawah kebiasaan"))</f>
        <v>di bawah kebiasaan</v>
      </c>
      <c r="N32" s="33"/>
      <c r="O32" s="33"/>
      <c r="P32" s="33"/>
      <c r="Q32" s="33"/>
      <c r="R32" s="33"/>
      <c r="S32" s="33"/>
      <c r="T32" s="33"/>
      <c r="U32" s="33"/>
      <c r="V32" s="33"/>
      <c r="AD32" s="33"/>
      <c r="AE32" s="33"/>
      <c r="AF32" s="33">
        <v>31</v>
      </c>
      <c r="AG32" s="33">
        <f t="shared" si="1"/>
        <v>46234</v>
      </c>
      <c r="AH32" s="33">
        <f ca="1">IF(OR(AF32&gt;$AD$4,AF32&gt;$AD$3),NA(),SUMIFS(JulyTable[Jumlah (Rp)],JulyTable[Tipe],"Pengeluaran",JulyTable[Tanggal],"&lt;="&amp;AG32))</f>
        <v>0</v>
      </c>
      <c r="AI32" s="33">
        <f>IF(AF32&gt;$AD$4,NA(),Rekap!$B$19/$AD$4*AF32)</f>
        <v>237250</v>
      </c>
      <c r="AJ32" s="33"/>
      <c r="AK32" s="33"/>
      <c r="AL32" s="33"/>
      <c r="AM32" s="33"/>
      <c r="AN32" s="33"/>
      <c r="AO32" s="33"/>
    </row>
    <row r="33" spans="1:41" ht="24.75" customHeight="1" x14ac:dyDescent="0.25">
      <c r="A33" s="5"/>
      <c r="B33" s="3"/>
      <c r="C33" s="3"/>
      <c r="D33" s="3"/>
      <c r="E33" s="6"/>
      <c r="F33" s="4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</row>
    <row r="34" spans="1:41" ht="24.75" customHeight="1" x14ac:dyDescent="0.25">
      <c r="A34" s="5"/>
      <c r="B34" s="3"/>
      <c r="C34" s="3"/>
      <c r="D34" s="3"/>
      <c r="E34" s="6"/>
      <c r="F34" s="4"/>
      <c r="K34" s="32" t="s">
        <v>94</v>
      </c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</row>
    <row r="35" spans="1:41" ht="24.75" customHeight="1" x14ac:dyDescent="0.25">
      <c r="A35" s="5"/>
      <c r="B35" s="3"/>
      <c r="C35" s="3"/>
      <c r="D35" s="3"/>
      <c r="E35" s="6"/>
      <c r="F35" s="4"/>
      <c r="K35" s="34" t="s">
        <v>43</v>
      </c>
      <c r="L35" s="34" t="s">
        <v>37</v>
      </c>
      <c r="M35" s="34" t="s">
        <v>44</v>
      </c>
      <c r="N35" s="33"/>
      <c r="O35" s="33"/>
      <c r="P35" s="33"/>
      <c r="Q35" s="33"/>
      <c r="R35" s="33"/>
      <c r="S35" s="33"/>
      <c r="T35" s="33"/>
      <c r="U35" s="33"/>
      <c r="V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</row>
    <row r="36" spans="1:41" ht="24.75" customHeight="1" x14ac:dyDescent="0.25">
      <c r="A36" s="5"/>
      <c r="B36" s="3"/>
      <c r="C36" s="3"/>
      <c r="D36" s="3"/>
      <c r="E36" s="6"/>
      <c r="F36" s="4"/>
      <c r="K36" s="35" t="str">
        <f>Master!$G$5</f>
        <v>Tunai Uji</v>
      </c>
      <c r="L36" s="37">
        <f>SUMIFS(JulyTable[Jumlah (Rp)],JulyTable[Tipe],"Pengeluaran",JulyTable[Pembayaran],K36)</f>
        <v>0</v>
      </c>
      <c r="M36" s="48">
        <f t="shared" ref="M36:M44" si="2">IFERROR(L36/$D$3,0)</f>
        <v>0</v>
      </c>
      <c r="N36" s="33"/>
      <c r="O36" s="33"/>
      <c r="P36" s="33"/>
      <c r="Q36" s="33"/>
      <c r="R36" s="33"/>
      <c r="S36" s="33"/>
      <c r="T36" s="33"/>
      <c r="U36" s="33"/>
      <c r="V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</row>
    <row r="37" spans="1:41" ht="24.75" customHeight="1" x14ac:dyDescent="0.25">
      <c r="A37" s="5"/>
      <c r="B37" s="3"/>
      <c r="C37" s="3"/>
      <c r="D37" s="3"/>
      <c r="E37" s="6"/>
      <c r="F37" s="4"/>
      <c r="K37" s="35" t="str">
        <f>Master!$G$6</f>
        <v>Bank Uji</v>
      </c>
      <c r="L37" s="37">
        <f>SUMIFS(JulyTable[Jumlah (Rp)],JulyTable[Tipe],"Pengeluaran",JulyTable[Pembayaran],K37)</f>
        <v>0</v>
      </c>
      <c r="M37" s="48">
        <f t="shared" si="2"/>
        <v>0</v>
      </c>
      <c r="N37" s="33"/>
      <c r="O37" s="33"/>
      <c r="P37" s="33"/>
      <c r="Q37" s="33"/>
      <c r="R37" s="33"/>
      <c r="S37" s="33"/>
      <c r="T37" s="33"/>
      <c r="U37" s="33"/>
      <c r="V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</row>
    <row r="38" spans="1:41" ht="24.75" customHeight="1" x14ac:dyDescent="0.25">
      <c r="A38" s="5"/>
      <c r="B38" s="3"/>
      <c r="C38" s="3"/>
      <c r="D38" s="3"/>
      <c r="E38" s="6"/>
      <c r="F38" s="4"/>
      <c r="K38" s="35" t="str">
        <f>Master!$G$7</f>
        <v>Dompet Uji</v>
      </c>
      <c r="L38" s="37">
        <f>SUMIFS(JulyTable[Jumlah (Rp)],JulyTable[Tipe],"Pengeluaran",JulyTable[Pembayaran],K38)</f>
        <v>0</v>
      </c>
      <c r="M38" s="48">
        <f t="shared" si="2"/>
        <v>0</v>
      </c>
      <c r="N38" s="33"/>
      <c r="O38" s="33"/>
      <c r="P38" s="33"/>
      <c r="Q38" s="33"/>
      <c r="R38" s="33"/>
      <c r="S38" s="33"/>
      <c r="T38" s="33"/>
      <c r="U38" s="33"/>
      <c r="V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</row>
    <row r="39" spans="1:41" ht="24.75" customHeight="1" x14ac:dyDescent="0.25">
      <c r="A39" s="5"/>
      <c r="B39" s="3"/>
      <c r="C39" s="3"/>
      <c r="D39" s="3"/>
      <c r="E39" s="6"/>
      <c r="F39" s="4"/>
      <c r="K39" s="35" t="str">
        <f>Master!$G$8</f>
        <v>Kartu Uji</v>
      </c>
      <c r="L39" s="37">
        <f>SUMIFS(JulyTable[Jumlah (Rp)],JulyTable[Tipe],"Pengeluaran",JulyTable[Pembayaran],K39)</f>
        <v>0</v>
      </c>
      <c r="M39" s="48">
        <f t="shared" si="2"/>
        <v>0</v>
      </c>
      <c r="N39" s="33"/>
      <c r="O39" s="33"/>
      <c r="P39" s="33"/>
      <c r="Q39" s="33"/>
      <c r="R39" s="33"/>
      <c r="S39" s="33"/>
      <c r="T39" s="33"/>
      <c r="U39" s="33"/>
      <c r="V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</row>
    <row r="40" spans="1:41" ht="24.75" customHeight="1" x14ac:dyDescent="0.25">
      <c r="A40" s="5"/>
      <c r="B40" s="3"/>
      <c r="C40" s="3"/>
      <c r="D40" s="3"/>
      <c r="E40" s="6"/>
      <c r="F40" s="4"/>
      <c r="K40" s="35" t="str">
        <f>Master!$G$9</f>
        <v>Transfer Uji</v>
      </c>
      <c r="L40" s="37">
        <f>SUMIFS(JulyTable[Jumlah (Rp)],JulyTable[Tipe],"Pengeluaran",JulyTable[Pembayaran],K40)</f>
        <v>0</v>
      </c>
      <c r="M40" s="48">
        <f t="shared" si="2"/>
        <v>0</v>
      </c>
      <c r="N40" s="33"/>
      <c r="O40" s="33"/>
      <c r="P40" s="33"/>
      <c r="Q40" s="33"/>
      <c r="R40" s="33"/>
      <c r="S40" s="33"/>
      <c r="T40" s="33"/>
      <c r="U40" s="33"/>
      <c r="V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</row>
    <row r="41" spans="1:41" ht="24.75" customHeight="1" x14ac:dyDescent="0.25">
      <c r="A41" s="5"/>
      <c r="B41" s="3"/>
      <c r="C41" s="3"/>
      <c r="D41" s="3"/>
      <c r="E41" s="6"/>
      <c r="F41" s="4"/>
      <c r="K41" s="35" t="str">
        <f>Master!$G$10</f>
        <v>Voucher Uji</v>
      </c>
      <c r="L41" s="37">
        <f>SUMIFS(JulyTable[Jumlah (Rp)],JulyTable[Tipe],"Pengeluaran",JulyTable[Pembayaran],K41)</f>
        <v>0</v>
      </c>
      <c r="M41" s="48">
        <f t="shared" si="2"/>
        <v>0</v>
      </c>
      <c r="N41" s="33"/>
      <c r="O41" s="33"/>
      <c r="P41" s="33"/>
      <c r="Q41" s="33"/>
      <c r="R41" s="33"/>
      <c r="S41" s="33"/>
      <c r="T41" s="33"/>
      <c r="U41" s="33"/>
      <c r="V41" s="33"/>
    </row>
    <row r="42" spans="1:41" ht="24.75" customHeight="1" x14ac:dyDescent="0.25">
      <c r="A42" s="5"/>
      <c r="B42" s="3"/>
      <c r="C42" s="3"/>
      <c r="D42" s="3"/>
      <c r="E42" s="6"/>
      <c r="F42" s="4"/>
      <c r="K42" s="35" t="str">
        <f>Master!$G$11</f>
        <v>Cicilan Uji</v>
      </c>
      <c r="L42" s="37">
        <f>SUMIFS(JulyTable[Jumlah (Rp)],JulyTable[Tipe],"Pengeluaran",JulyTable[Pembayaran],K42)</f>
        <v>0</v>
      </c>
      <c r="M42" s="48">
        <f t="shared" si="2"/>
        <v>0</v>
      </c>
      <c r="N42" s="33"/>
      <c r="O42" s="33"/>
      <c r="P42" s="33"/>
      <c r="Q42" s="33"/>
      <c r="R42" s="33"/>
      <c r="S42" s="33"/>
      <c r="T42" s="33"/>
      <c r="U42" s="33"/>
      <c r="V42" s="33"/>
    </row>
    <row r="43" spans="1:41" ht="24.75" customHeight="1" x14ac:dyDescent="0.25">
      <c r="A43" s="5"/>
      <c r="B43" s="3"/>
      <c r="C43" s="3"/>
      <c r="D43" s="3"/>
      <c r="E43" s="6"/>
      <c r="F43" s="4"/>
      <c r="K43" s="35" t="str">
        <f>Master!$G$12</f>
        <v>Lainnya Uji</v>
      </c>
      <c r="L43" s="37">
        <f>SUMIFS(JulyTable[Jumlah (Rp)],JulyTable[Tipe],"Pengeluaran",JulyTable[Pembayaran],K43)</f>
        <v>0</v>
      </c>
      <c r="M43" s="48">
        <f t="shared" si="2"/>
        <v>0</v>
      </c>
      <c r="N43" s="33"/>
      <c r="O43" s="33"/>
      <c r="P43" s="33"/>
      <c r="Q43" s="33"/>
      <c r="R43" s="33"/>
      <c r="S43" s="33"/>
      <c r="T43" s="33"/>
      <c r="U43" s="33"/>
      <c r="V43" s="33"/>
    </row>
    <row r="44" spans="1:41" ht="24.75" customHeight="1" x14ac:dyDescent="0.25">
      <c r="A44" s="5"/>
      <c r="B44" s="3"/>
      <c r="C44" s="3"/>
      <c r="D44" s="3"/>
      <c r="E44" s="6"/>
      <c r="F44" s="4"/>
      <c r="K44" s="40" t="s">
        <v>21</v>
      </c>
      <c r="L44" s="42">
        <f>SUM(L36:L43)</f>
        <v>0</v>
      </c>
      <c r="M44" s="44">
        <f t="shared" si="2"/>
        <v>0</v>
      </c>
      <c r="N44" s="33"/>
      <c r="O44" s="33"/>
      <c r="P44" s="33"/>
      <c r="Q44" s="33"/>
      <c r="R44" s="33"/>
      <c r="S44" s="33"/>
      <c r="T44" s="33"/>
      <c r="U44" s="33"/>
      <c r="V44" s="33"/>
    </row>
    <row r="45" spans="1:41" ht="24.75" customHeight="1" x14ac:dyDescent="0.25">
      <c r="A45" s="5"/>
      <c r="B45" s="3"/>
      <c r="C45" s="3"/>
      <c r="D45" s="3"/>
      <c r="E45" s="6"/>
      <c r="F45" s="4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</row>
    <row r="46" spans="1:41" ht="24.75" customHeight="1" x14ac:dyDescent="0.25">
      <c r="A46" s="5"/>
      <c r="B46" s="3"/>
      <c r="C46" s="3"/>
      <c r="D46" s="3"/>
      <c r="E46" s="6"/>
      <c r="F46" s="4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</row>
    <row r="47" spans="1:41" ht="24.75" customHeight="1" x14ac:dyDescent="0.25">
      <c r="A47" s="5"/>
      <c r="B47" s="3"/>
      <c r="C47" s="3"/>
      <c r="D47" s="3"/>
      <c r="E47" s="6"/>
      <c r="F47" s="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</row>
    <row r="48" spans="1:41" ht="24.75" customHeight="1" x14ac:dyDescent="0.25">
      <c r="A48" s="5"/>
      <c r="B48" s="3"/>
      <c r="C48" s="3"/>
      <c r="D48" s="3"/>
      <c r="E48" s="6"/>
      <c r="F48" s="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</row>
    <row r="49" spans="1:22" ht="24.75" customHeight="1" x14ac:dyDescent="0.25">
      <c r="A49" s="5"/>
      <c r="B49" s="3"/>
      <c r="C49" s="3"/>
      <c r="D49" s="3"/>
      <c r="E49" s="6"/>
      <c r="F49" s="4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ht="24.75" customHeight="1" x14ac:dyDescent="0.25">
      <c r="A50" s="5"/>
      <c r="B50" s="3"/>
      <c r="C50" s="3"/>
      <c r="D50" s="3"/>
      <c r="E50" s="6"/>
      <c r="F50" s="4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</row>
    <row r="51" spans="1:22" ht="24.75" customHeight="1" x14ac:dyDescent="0.25">
      <c r="A51" s="5"/>
      <c r="B51" s="3"/>
      <c r="C51" s="3"/>
      <c r="D51" s="3"/>
      <c r="E51" s="6"/>
      <c r="F51" s="4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</row>
    <row r="52" spans="1:22" ht="24.75" customHeight="1" x14ac:dyDescent="0.25">
      <c r="A52" s="5"/>
      <c r="B52" s="3"/>
      <c r="C52" s="3"/>
      <c r="D52" s="3"/>
      <c r="E52" s="6"/>
      <c r="F52" s="4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</row>
    <row r="53" spans="1:22" ht="24.75" customHeight="1" x14ac:dyDescent="0.25">
      <c r="A53" s="5"/>
      <c r="B53" s="3"/>
      <c r="C53" s="3"/>
      <c r="D53" s="3"/>
      <c r="E53" s="6"/>
      <c r="F53" s="4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</row>
    <row r="54" spans="1:22" ht="24.75" customHeight="1" x14ac:dyDescent="0.25">
      <c r="A54" s="5"/>
      <c r="B54" s="3"/>
      <c r="C54" s="3"/>
      <c r="D54" s="3"/>
      <c r="E54" s="6"/>
      <c r="F54" s="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</row>
    <row r="55" spans="1:22" ht="24.75" customHeight="1" x14ac:dyDescent="0.25">
      <c r="A55" s="5"/>
      <c r="B55" s="3"/>
      <c r="C55" s="3"/>
      <c r="D55" s="3"/>
      <c r="E55" s="6"/>
      <c r="F55" s="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</row>
    <row r="56" spans="1:22" ht="24.75" customHeight="1" x14ac:dyDescent="0.25">
      <c r="A56" s="5"/>
      <c r="B56" s="3"/>
      <c r="C56" s="3"/>
      <c r="D56" s="3"/>
      <c r="E56" s="6"/>
      <c r="F56" s="4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</row>
    <row r="57" spans="1:22" ht="24.75" customHeight="1" x14ac:dyDescent="0.25">
      <c r="A57" s="5"/>
      <c r="B57" s="3"/>
      <c r="C57" s="3"/>
      <c r="D57" s="3"/>
      <c r="E57" s="6"/>
      <c r="F57" s="4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</row>
    <row r="58" spans="1:22" ht="24.75" customHeight="1" x14ac:dyDescent="0.25">
      <c r="A58" s="5"/>
      <c r="B58" s="3"/>
      <c r="C58" s="3"/>
      <c r="D58" s="3"/>
      <c r="E58" s="6"/>
      <c r="F58" s="4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</row>
    <row r="59" spans="1:22" ht="24.75" customHeight="1" x14ac:dyDescent="0.25">
      <c r="A59" s="5"/>
      <c r="B59" s="3"/>
      <c r="C59" s="3"/>
      <c r="D59" s="3"/>
      <c r="E59" s="6"/>
      <c r="F59" s="4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</row>
    <row r="60" spans="1:22" ht="24.75" customHeight="1" x14ac:dyDescent="0.25">
      <c r="A60" s="5"/>
      <c r="B60" s="3"/>
      <c r="C60" s="3"/>
      <c r="D60" s="3"/>
      <c r="E60" s="6"/>
      <c r="F60" s="4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</row>
    <row r="61" spans="1:22" ht="24.75" customHeight="1" x14ac:dyDescent="0.25">
      <c r="A61" s="5"/>
      <c r="B61" s="3"/>
      <c r="C61" s="3"/>
      <c r="D61" s="3"/>
      <c r="E61" s="6"/>
      <c r="F61" s="4"/>
    </row>
    <row r="62" spans="1:22" ht="24.75" customHeight="1" x14ac:dyDescent="0.25">
      <c r="A62" s="5"/>
      <c r="B62" s="3"/>
      <c r="C62" s="3"/>
      <c r="D62" s="3"/>
      <c r="E62" s="6"/>
      <c r="F62" s="4"/>
    </row>
    <row r="63" spans="1:22" ht="24.75" customHeight="1" x14ac:dyDescent="0.25">
      <c r="A63" s="5"/>
      <c r="B63" s="3"/>
      <c r="C63" s="3"/>
      <c r="D63" s="3"/>
      <c r="E63" s="6"/>
      <c r="F63" s="4"/>
    </row>
    <row r="64" spans="1:22" ht="24.75" customHeight="1" x14ac:dyDescent="0.25">
      <c r="A64" s="5"/>
      <c r="B64" s="3"/>
      <c r="C64" s="3"/>
      <c r="D64" s="3"/>
      <c r="E64" s="6"/>
      <c r="F64" s="4"/>
    </row>
    <row r="65" spans="1:6" ht="24.75" customHeight="1" x14ac:dyDescent="0.25">
      <c r="A65" s="5"/>
      <c r="B65" s="3"/>
      <c r="C65" s="3"/>
      <c r="D65" s="3"/>
      <c r="E65" s="6"/>
      <c r="F65" s="4"/>
    </row>
    <row r="66" spans="1:6" ht="24.75" customHeight="1" x14ac:dyDescent="0.25">
      <c r="A66" s="5"/>
      <c r="B66" s="3"/>
      <c r="C66" s="3"/>
      <c r="D66" s="3"/>
      <c r="E66" s="6"/>
      <c r="F66" s="4"/>
    </row>
    <row r="67" spans="1:6" ht="24.75" customHeight="1" x14ac:dyDescent="0.25">
      <c r="A67" s="5"/>
      <c r="B67" s="3"/>
      <c r="C67" s="3"/>
      <c r="D67" s="14"/>
      <c r="E67" s="6"/>
      <c r="F67" s="4"/>
    </row>
    <row r="68" spans="1:6" ht="24.75" customHeight="1" x14ac:dyDescent="0.25">
      <c r="A68" s="5"/>
      <c r="B68" s="3"/>
      <c r="C68" s="3"/>
      <c r="D68" s="3"/>
      <c r="E68" s="6"/>
      <c r="F68" s="4"/>
    </row>
    <row r="69" spans="1:6" ht="24.75" customHeight="1" x14ac:dyDescent="0.25">
      <c r="A69" s="5"/>
      <c r="B69" s="3"/>
      <c r="C69" s="3"/>
      <c r="D69" s="3"/>
      <c r="E69" s="6"/>
      <c r="F69" s="4"/>
    </row>
    <row r="70" spans="1:6" ht="24.75" customHeight="1" x14ac:dyDescent="0.25">
      <c r="A70" s="5"/>
      <c r="B70" s="3"/>
      <c r="C70" s="3"/>
      <c r="D70" s="3"/>
      <c r="E70" s="6"/>
      <c r="F70" s="4"/>
    </row>
    <row r="71" spans="1:6" ht="24.75" customHeight="1" x14ac:dyDescent="0.25">
      <c r="A71" s="5"/>
      <c r="B71" s="3"/>
      <c r="C71" s="3"/>
      <c r="D71" s="3"/>
      <c r="E71" s="6"/>
      <c r="F71" s="4"/>
    </row>
    <row r="72" spans="1:6" ht="24.75" customHeight="1" x14ac:dyDescent="0.25">
      <c r="A72" s="5"/>
      <c r="B72" s="3"/>
      <c r="C72" s="3"/>
      <c r="D72" s="3"/>
      <c r="E72" s="6"/>
      <c r="F72" s="4"/>
    </row>
    <row r="73" spans="1:6" ht="24.75" customHeight="1" x14ac:dyDescent="0.25">
      <c r="A73" s="5"/>
      <c r="B73" s="3"/>
      <c r="C73" s="3"/>
      <c r="D73" s="3"/>
      <c r="E73" s="6"/>
      <c r="F73" s="4"/>
    </row>
    <row r="74" spans="1:6" ht="24.75" customHeight="1" x14ac:dyDescent="0.25">
      <c r="A74" s="5"/>
      <c r="B74" s="3"/>
      <c r="C74" s="3"/>
      <c r="D74" s="3"/>
      <c r="E74" s="6"/>
      <c r="F74" s="4"/>
    </row>
    <row r="75" spans="1:6" ht="24.75" customHeight="1" x14ac:dyDescent="0.25">
      <c r="A75" s="5"/>
      <c r="B75" s="3"/>
      <c r="C75" s="3"/>
      <c r="D75" s="3"/>
      <c r="E75" s="6"/>
      <c r="F75" s="4"/>
    </row>
    <row r="76" spans="1:6" ht="24.75" customHeight="1" x14ac:dyDescent="0.25">
      <c r="A76" s="5"/>
      <c r="B76" s="3"/>
      <c r="C76" s="3"/>
      <c r="D76" s="3"/>
      <c r="E76" s="6"/>
      <c r="F76" s="4"/>
    </row>
    <row r="77" spans="1:6" ht="24.75" customHeight="1" x14ac:dyDescent="0.25">
      <c r="A77" s="5"/>
      <c r="B77" s="3"/>
      <c r="C77" s="3"/>
      <c r="D77" s="3"/>
      <c r="E77" s="6"/>
      <c r="F77" s="4"/>
    </row>
    <row r="78" spans="1:6" ht="24.75" customHeight="1" x14ac:dyDescent="0.25">
      <c r="A78" s="5"/>
      <c r="B78" s="3"/>
      <c r="C78" s="3"/>
      <c r="D78" s="3"/>
      <c r="E78" s="6"/>
      <c r="F78" s="4"/>
    </row>
    <row r="79" spans="1:6" ht="24.75" customHeight="1" x14ac:dyDescent="0.25">
      <c r="A79" s="5"/>
      <c r="B79" s="3"/>
      <c r="C79" s="3"/>
      <c r="D79" s="3"/>
      <c r="E79" s="6"/>
      <c r="F79" s="4"/>
    </row>
    <row r="80" spans="1:6" ht="24.75" customHeight="1" x14ac:dyDescent="0.25">
      <c r="A80" s="5"/>
      <c r="B80" s="3"/>
      <c r="C80" s="3"/>
      <c r="D80" s="3"/>
      <c r="E80" s="6"/>
      <c r="F80" s="4"/>
    </row>
    <row r="81" spans="1:6" ht="24.75" customHeight="1" x14ac:dyDescent="0.25">
      <c r="A81" s="5"/>
      <c r="B81" s="3"/>
      <c r="C81" s="3"/>
      <c r="D81" s="3"/>
      <c r="E81" s="6"/>
      <c r="F81" s="4"/>
    </row>
    <row r="82" spans="1:6" ht="24.75" customHeight="1" x14ac:dyDescent="0.25">
      <c r="A82" s="5"/>
      <c r="B82" s="3"/>
      <c r="C82" s="3"/>
      <c r="D82" s="3"/>
      <c r="E82" s="6"/>
      <c r="F82" s="4"/>
    </row>
    <row r="83" spans="1:6" ht="24.75" customHeight="1" x14ac:dyDescent="0.25">
      <c r="A83" s="5"/>
      <c r="B83" s="3"/>
      <c r="C83" s="3"/>
      <c r="D83" s="3"/>
      <c r="E83" s="6"/>
      <c r="F83" s="4"/>
    </row>
    <row r="84" spans="1:6" ht="24.75" customHeight="1" x14ac:dyDescent="0.25">
      <c r="A84" s="5"/>
      <c r="B84" s="3"/>
      <c r="C84" s="3"/>
      <c r="D84" s="3"/>
      <c r="E84" s="6"/>
      <c r="F84" s="4"/>
    </row>
    <row r="85" spans="1:6" ht="24.75" customHeight="1" x14ac:dyDescent="0.25">
      <c r="A85" s="5"/>
      <c r="B85" s="3"/>
      <c r="C85" s="3"/>
      <c r="D85" s="3"/>
      <c r="E85" s="6"/>
      <c r="F85" s="4"/>
    </row>
    <row r="86" spans="1:6" ht="24.75" customHeight="1" x14ac:dyDescent="0.25">
      <c r="A86" s="5"/>
      <c r="B86" s="3"/>
      <c r="C86" s="3"/>
      <c r="D86" s="3"/>
      <c r="E86" s="6"/>
      <c r="F86" s="4"/>
    </row>
    <row r="87" spans="1:6" ht="24.75" customHeight="1" x14ac:dyDescent="0.25">
      <c r="A87" s="5"/>
      <c r="B87" s="3"/>
      <c r="C87" s="3"/>
      <c r="D87" s="3"/>
      <c r="E87" s="6"/>
      <c r="F87" s="4"/>
    </row>
    <row r="88" spans="1:6" ht="24.75" customHeight="1" x14ac:dyDescent="0.25">
      <c r="A88" s="5"/>
      <c r="B88" s="3"/>
      <c r="C88" s="3"/>
      <c r="D88" s="3"/>
      <c r="E88" s="6"/>
      <c r="F88" s="4"/>
    </row>
    <row r="89" spans="1:6" ht="24.75" customHeight="1" x14ac:dyDescent="0.25">
      <c r="A89" s="5"/>
      <c r="B89" s="3"/>
      <c r="C89" s="3"/>
      <c r="D89" s="3"/>
      <c r="E89" s="6"/>
      <c r="F89" s="4"/>
    </row>
    <row r="90" spans="1:6" ht="24.75" customHeight="1" x14ac:dyDescent="0.25">
      <c r="A90" s="5"/>
      <c r="B90" s="3"/>
      <c r="C90" s="3"/>
      <c r="D90" s="3"/>
      <c r="E90" s="6"/>
      <c r="F90" s="4"/>
    </row>
    <row r="91" spans="1:6" ht="24.75" customHeight="1" x14ac:dyDescent="0.25">
      <c r="A91" s="5"/>
      <c r="B91" s="3"/>
      <c r="C91" s="3"/>
      <c r="D91" s="3"/>
      <c r="E91" s="6"/>
      <c r="F91" s="4"/>
    </row>
    <row r="92" spans="1:6" ht="24.75" customHeight="1" x14ac:dyDescent="0.25">
      <c r="A92" s="5"/>
      <c r="B92" s="3"/>
      <c r="C92" s="3"/>
      <c r="D92" s="3"/>
      <c r="E92" s="6"/>
      <c r="F92" s="4"/>
    </row>
    <row r="93" spans="1:6" ht="24.75" customHeight="1" x14ac:dyDescent="0.25">
      <c r="A93" s="5"/>
      <c r="B93" s="3"/>
      <c r="C93" s="3"/>
      <c r="D93" s="3"/>
      <c r="E93" s="6"/>
      <c r="F93" s="4"/>
    </row>
    <row r="94" spans="1:6" ht="24.75" customHeight="1" x14ac:dyDescent="0.25">
      <c r="A94" s="5"/>
      <c r="B94" s="3"/>
      <c r="C94" s="3"/>
      <c r="D94" s="3"/>
      <c r="E94" s="6"/>
      <c r="F94" s="4"/>
    </row>
    <row r="95" spans="1:6" ht="24.75" customHeight="1" x14ac:dyDescent="0.25">
      <c r="A95" s="5"/>
      <c r="B95" s="3"/>
      <c r="C95" s="3"/>
      <c r="D95" s="3"/>
      <c r="E95" s="6"/>
      <c r="F95" s="4"/>
    </row>
    <row r="96" spans="1:6" ht="24.75" customHeight="1" x14ac:dyDescent="0.25">
      <c r="A96" s="5"/>
      <c r="B96" s="3"/>
      <c r="C96" s="3"/>
      <c r="D96" s="3"/>
      <c r="E96" s="6"/>
      <c r="F96" s="4"/>
    </row>
  </sheetData>
  <mergeCells count="21">
    <mergeCell ref="K16:L16"/>
    <mergeCell ref="K30:L30"/>
    <mergeCell ref="K18:L18"/>
    <mergeCell ref="K25:L25"/>
    <mergeCell ref="K24:L24"/>
    <mergeCell ref="K32:L32"/>
    <mergeCell ref="K31:L31"/>
    <mergeCell ref="K27:L27"/>
    <mergeCell ref="R8:T8"/>
    <mergeCell ref="H13:I13"/>
    <mergeCell ref="K14:L14"/>
    <mergeCell ref="K17:L17"/>
    <mergeCell ref="K10:L10"/>
    <mergeCell ref="K28:L28"/>
    <mergeCell ref="K19:L19"/>
    <mergeCell ref="K15:L15"/>
    <mergeCell ref="K9:L9"/>
    <mergeCell ref="K26:L26"/>
    <mergeCell ref="K29:L29"/>
    <mergeCell ref="K11:L11"/>
    <mergeCell ref="K20:L20"/>
  </mergeCells>
  <conditionalFormatting sqref="M19">
    <cfRule type="cellIs" dxfId="86" priority="3" operator="lessThan">
      <formula>0</formula>
    </cfRule>
    <cfRule type="cellIs" dxfId="85" priority="4" operator="greaterThanOrEqual">
      <formula>0</formula>
    </cfRule>
  </conditionalFormatting>
  <conditionalFormatting sqref="M32">
    <cfRule type="cellIs" dxfId="84" priority="5" operator="equal">
      <formula>"di atas kebiasaan"</formula>
    </cfRule>
    <cfRule type="cellIs" dxfId="83" priority="6" operator="equal">
      <formula>"di bawah kebiasaan"</formula>
    </cfRule>
  </conditionalFormatting>
  <conditionalFormatting sqref="U12:U15">
    <cfRule type="cellIs" dxfId="82" priority="7" operator="greaterThan">
      <formula>0</formula>
    </cfRule>
    <cfRule type="cellIs" dxfId="81" priority="8" operator="lessThan">
      <formula>0</formula>
    </cfRule>
  </conditionalFormatting>
  <conditionalFormatting sqref="U19:U23">
    <cfRule type="cellIs" dxfId="80" priority="9" operator="greaterThan">
      <formula>0</formula>
    </cfRule>
    <cfRule type="cellIs" dxfId="79" priority="10" operator="lessThan">
      <formula>0</formula>
    </cfRule>
  </conditionalFormatting>
  <conditionalFormatting sqref="B6:B505">
    <cfRule type="expression" dxfId="78" priority="11" stopIfTrue="1">
      <formula>TRIM($B6)="Pengeluaran"</formula>
    </cfRule>
    <cfRule type="expression" dxfId="77" priority="12" stopIfTrue="1">
      <formula>TRIM($B6)="Pemasukan"</formula>
    </cfRule>
  </conditionalFormatting>
  <dataValidations count="3">
    <dataValidation type="list" errorStyle="warning" allowBlank="1" errorTitle="Di luar daftar" error="Nilai ini tidak ada di sheet Master. Tetap pakai?" sqref="B6:B505" xr:uid="{00000000-0002-0000-0700-000000000000}">
      <formula1>ListTipe</formula1>
    </dataValidation>
    <dataValidation type="list" errorStyle="warning" allowBlank="1" errorTitle="Di luar daftar" error="Nilai ini tidak ada di sheet Master. Tetap pakai?" sqref="C6:C505" xr:uid="{00000000-0002-0000-0700-000001000000}">
      <formula1>ListPembayaran</formula1>
    </dataValidation>
    <dataValidation type="list" errorStyle="warning" allowBlank="1" errorTitle="Di luar daftar" error="Nilai ini tidak ada di sheet Master. Tetap pakai?" sqref="D6:D505" xr:uid="{00000000-0002-0000-0700-000002000000}">
      <formula1>ListKategori</formula1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5" name="Button 1">
              <controlPr defaultSize="0" print="0" autoFill="0" autoPict="0" macro="TambahBarisBaru_ActiveSheet">
                <anchor moveWithCells="1" sizeWithCells="1">
                  <from>
                    <xdr:col>4</xdr:col>
                    <xdr:colOff>1457325</xdr:colOff>
                    <xdr:row>1</xdr:row>
                    <xdr:rowOff>285750</xdr:rowOff>
                  </from>
                  <to>
                    <xdr:col>5</xdr:col>
                    <xdr:colOff>3038475</xdr:colOff>
                    <xdr:row>3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/>
  <dimension ref="A1:AO89"/>
  <sheetViews>
    <sheetView topLeftCell="A19" workbookViewId="0">
      <selection activeCell="F7" sqref="F7"/>
    </sheetView>
  </sheetViews>
  <sheetFormatPr defaultRowHeight="24.75" customHeight="1" x14ac:dyDescent="0.25"/>
  <cols>
    <col min="1" max="1" width="15" customWidth="1"/>
    <col min="2" max="2" width="14" customWidth="1"/>
    <col min="3" max="3" width="20.85546875" customWidth="1"/>
    <col min="4" max="5" width="22.140625" customWidth="1"/>
    <col min="6" max="6" width="46" customWidth="1"/>
    <col min="7" max="7" width="2" customWidth="1"/>
    <col min="8" max="8" width="16.7109375" customWidth="1"/>
    <col min="9" max="9" width="16.42578125" customWidth="1"/>
    <col min="11" max="11" width="26" customWidth="1"/>
    <col min="12" max="12" width="9" customWidth="1"/>
    <col min="13" max="15" width="16" customWidth="1"/>
    <col min="16" max="16" width="19" customWidth="1"/>
    <col min="17" max="17" width="2" customWidth="1"/>
    <col min="18" max="18" width="22" customWidth="1"/>
    <col min="19" max="21" width="15" customWidth="1"/>
    <col min="22" max="22" width="34" customWidth="1"/>
    <col min="30" max="41" width="13" hidden="1" customWidth="1"/>
  </cols>
  <sheetData>
    <row r="1" spans="1:41" ht="24.75" customHeight="1" x14ac:dyDescent="0.25">
      <c r="A1" s="15" t="s">
        <v>45</v>
      </c>
      <c r="B1" s="16"/>
      <c r="C1" s="17" t="s">
        <v>46</v>
      </c>
      <c r="D1" s="16"/>
      <c r="K1" s="32" t="s">
        <v>47</v>
      </c>
      <c r="L1" s="33"/>
      <c r="M1" s="33"/>
      <c r="N1" s="33"/>
      <c r="O1" s="33"/>
      <c r="P1" s="33"/>
      <c r="Q1" s="33"/>
      <c r="R1" s="32" t="s">
        <v>48</v>
      </c>
      <c r="S1" s="33"/>
      <c r="T1" s="33"/>
      <c r="U1" s="33"/>
      <c r="V1" s="33"/>
      <c r="AD1" s="33">
        <f>DATE(2026,8,1)</f>
        <v>46235</v>
      </c>
      <c r="AE1" s="33"/>
      <c r="AF1" s="33" t="s">
        <v>49</v>
      </c>
      <c r="AG1" s="33"/>
      <c r="AH1" s="33" t="s">
        <v>50</v>
      </c>
      <c r="AI1" s="33" t="s">
        <v>51</v>
      </c>
      <c r="AJ1" s="33" t="str">
        <f>Master!$A$5</f>
        <v>Kategori Uji 01</v>
      </c>
      <c r="AK1" s="33">
        <f>SUMIFS(AugTable[Jumlah (Rp)],AugTable[Tipe],"Pengeluaran",AugTable[Kategori],AJ1)</f>
        <v>0</v>
      </c>
      <c r="AL1" s="33">
        <f>SUMIFS(JulyTable[Jumlah (Rp)],JulyTable[Tipe],"Pengeluaran",JulyTable[Kategori],AJ1)</f>
        <v>0</v>
      </c>
      <c r="AM1" s="33">
        <f t="shared" ref="AM1:AM23" si="0">AK1+ROW()/1000000</f>
        <v>9.9999999999999995E-7</v>
      </c>
      <c r="AN1" s="33">
        <f>MAX($AM$1:$AM$23)</f>
        <v>2.3E-5</v>
      </c>
      <c r="AO1" s="33">
        <f>IFERROR(MATCH(AN1,$AM$1:$AM$23,0),0)</f>
        <v>23</v>
      </c>
    </row>
    <row r="2" spans="1:41" ht="24.75" customHeight="1" x14ac:dyDescent="0.25">
      <c r="A2" s="15" t="s">
        <v>5</v>
      </c>
      <c r="B2" s="7" t="str">
        <f>IF(B1=0,"",B1-D4)</f>
        <v/>
      </c>
      <c r="C2" s="17" t="s">
        <v>52</v>
      </c>
      <c r="D2" s="2">
        <f>SUMIFS(AugTable[Jumlah (Rp)],AugTable[Tipe],"Pemasukan")</f>
        <v>0</v>
      </c>
      <c r="E2" s="8">
        <f>IFERROR(D2/(D2+D3),0)</f>
        <v>0</v>
      </c>
      <c r="K2" s="34" t="s">
        <v>53</v>
      </c>
      <c r="L2" s="34" t="s">
        <v>54</v>
      </c>
      <c r="M2" s="34" t="s">
        <v>55</v>
      </c>
      <c r="N2" s="34" t="s">
        <v>56</v>
      </c>
      <c r="O2" s="34" t="s">
        <v>57</v>
      </c>
      <c r="P2" s="34" t="s">
        <v>58</v>
      </c>
      <c r="Q2" s="33"/>
      <c r="R2" s="34" t="s">
        <v>59</v>
      </c>
      <c r="S2" s="34" t="s">
        <v>49</v>
      </c>
      <c r="T2" s="34" t="s">
        <v>25</v>
      </c>
      <c r="U2" s="34" t="s">
        <v>60</v>
      </c>
      <c r="V2" s="34" t="s">
        <v>61</v>
      </c>
      <c r="AD2" s="33">
        <f>EOMONTH(AD1,0)</f>
        <v>46265</v>
      </c>
      <c r="AE2" s="33"/>
      <c r="AF2" s="33">
        <v>1</v>
      </c>
      <c r="AG2" s="33">
        <f t="shared" ref="AG2:AG32" si="1">DATE(2026,8,AF2)</f>
        <v>46235</v>
      </c>
      <c r="AH2" s="33">
        <f ca="1">IF(OR(AF2&gt;$AD$4,AF2&gt;$AD$3),NA(),SUMIFS(AugTable[Jumlah (Rp)],AugTable[Tipe],"Pengeluaran",AugTable[Tanggal],"&lt;="&amp;AG2))</f>
        <v>0</v>
      </c>
      <c r="AI2" s="33">
        <f>IF(AF2&gt;$AD$4,NA(),Rekap!$B$19/$AD$4*AF2)</f>
        <v>7653.2258064516127</v>
      </c>
      <c r="AJ2" s="33" t="str">
        <f>Master!$A$6</f>
        <v>Kategori Uji 02</v>
      </c>
      <c r="AK2" s="33">
        <f>SUMIFS(AugTable[Jumlah (Rp)],AugTable[Tipe],"Pengeluaran",AugTable[Kategori],AJ2)</f>
        <v>0</v>
      </c>
      <c r="AL2" s="33">
        <f>SUMIFS(JulyTable[Jumlah (Rp)],JulyTable[Tipe],"Pengeluaran",JulyTable[Kategori],AJ2)</f>
        <v>0</v>
      </c>
      <c r="AM2" s="33">
        <f t="shared" si="0"/>
        <v>1.9999999999999999E-6</v>
      </c>
      <c r="AN2" s="33">
        <f>SUMPRODUCT(MAX(($AM$1:$AM$23&lt;AN1)*$AM$1:$AM$23))</f>
        <v>2.1999999999999999E-5</v>
      </c>
      <c r="AO2" s="33">
        <f>IFERROR(MATCH(AN2,$AM$1:$AM$23,0),0)</f>
        <v>22</v>
      </c>
    </row>
    <row r="3" spans="1:41" ht="24.75" customHeight="1" x14ac:dyDescent="0.25">
      <c r="A3" s="15" t="s">
        <v>6</v>
      </c>
      <c r="B3" s="18" t="str">
        <f>IF(D2=0,"",(D2-D3)/D2)</f>
        <v/>
      </c>
      <c r="C3" s="19" t="s">
        <v>62</v>
      </c>
      <c r="D3" s="2">
        <f>SUMIFS(AugTable[Jumlah (Rp)],AugTable[Tipe],"Pengeluaran")</f>
        <v>0</v>
      </c>
      <c r="E3" s="8">
        <f>IFERROR(D3/(D2+D3),0)</f>
        <v>0</v>
      </c>
      <c r="K3" s="35" t="str">
        <f>"Uang Makan (hari kerja "&amp;TEXT($AD$1-1,"mmmm")&amp;")"</f>
        <v>Uang Makan (hari kerja July)</v>
      </c>
      <c r="L3" s="36">
        <v>10</v>
      </c>
      <c r="M3" s="37">
        <f>$M$10*$M$11</f>
        <v>0</v>
      </c>
      <c r="N3" s="37">
        <f>SUMIFS(AugTable[Jumlah (Rp)],AugTable[Tipe],"Pemasukan",AugTable[Kategori],"Uang Makan")</f>
        <v>0</v>
      </c>
      <c r="O3" s="37">
        <f ca="1">IF(OR(N3&gt;0,TODAY()&gt;$AD$2),0,N(M3))</f>
        <v>0</v>
      </c>
      <c r="P3" s="35" t="str">
        <f ca="1">IF(N3&gt;0,"sudah cair",IF(TODAY()&gt;$AD$2,"bulan sudah lewat",IF(N(M3)=0,"isi estimasi dulu","menunggu tgl 10")))</f>
        <v>bulan sudah lewat</v>
      </c>
      <c r="Q3" s="33"/>
      <c r="R3" s="36">
        <v>1</v>
      </c>
      <c r="S3" s="38">
        <f>IF($AE$6=0,"",INDEX(AugTable[Tanggal],$AE$6))</f>
        <v>0</v>
      </c>
      <c r="T3" s="35">
        <f>IF($AE$6=0,"",INDEX(AugTable[Kategori],$AE$6))</f>
        <v>0</v>
      </c>
      <c r="U3" s="37">
        <f>IF($AE$6=0,"",INDEX(AugTable[Jumlah (Rp)],$AE$6))</f>
        <v>0</v>
      </c>
      <c r="V3" s="35">
        <f>IF($AE$6=0,"",INDEX(AugTable[Keterangan],$AE$6))</f>
        <v>0</v>
      </c>
      <c r="AD3" s="33">
        <f ca="1">IF(TODAY()&gt;=AD2,DAY(AD2),IF(TODAY()&lt;AD1,0,DAY(TODAY())))</f>
        <v>31</v>
      </c>
      <c r="AE3" s="33"/>
      <c r="AF3" s="33">
        <v>2</v>
      </c>
      <c r="AG3" s="33">
        <f t="shared" si="1"/>
        <v>46236</v>
      </c>
      <c r="AH3" s="33">
        <f ca="1">IF(OR(AF3&gt;$AD$4,AF3&gt;$AD$3),NA(),SUMIFS(AugTable[Jumlah (Rp)],AugTable[Tipe],"Pengeluaran",AugTable[Tanggal],"&lt;="&amp;AG3))</f>
        <v>0</v>
      </c>
      <c r="AI3" s="33">
        <f>IF(AF3&gt;$AD$4,NA(),Rekap!$B$19/$AD$4*AF3)</f>
        <v>15306.451612903225</v>
      </c>
      <c r="AJ3" s="33" t="str">
        <f>Master!$A$7</f>
        <v>Kategori Uji 03</v>
      </c>
      <c r="AK3" s="33">
        <f>SUMIFS(AugTable[Jumlah (Rp)],AugTable[Tipe],"Pengeluaran",AugTable[Kategori],AJ3)</f>
        <v>0</v>
      </c>
      <c r="AL3" s="33">
        <f>SUMIFS(JulyTable[Jumlah (Rp)],JulyTable[Tipe],"Pengeluaran",JulyTable[Kategori],AJ3)</f>
        <v>0</v>
      </c>
      <c r="AM3" s="33">
        <f t="shared" si="0"/>
        <v>3.0000000000000001E-6</v>
      </c>
      <c r="AN3" s="33">
        <f>SUMPRODUCT(MAX(($AM$1:$AM$23&lt;AN2)*$AM$1:$AM$23))</f>
        <v>2.0999999999999999E-5</v>
      </c>
      <c r="AO3" s="33">
        <f>IFERROR(MATCH(AN3,$AM$1:$AM$23,0),0)</f>
        <v>21</v>
      </c>
    </row>
    <row r="4" spans="1:41" ht="24.75" customHeight="1" x14ac:dyDescent="0.25">
      <c r="A4" s="15" t="s">
        <v>63</v>
      </c>
      <c r="B4">
        <f>COUNTA(AugTable[Tanggal])</f>
        <v>0</v>
      </c>
      <c r="C4" s="17" t="s">
        <v>64</v>
      </c>
      <c r="D4" s="20">
        <f>D1+D2-D3</f>
        <v>0</v>
      </c>
      <c r="K4" s="35" t="s">
        <v>144</v>
      </c>
      <c r="L4" s="36">
        <v>10</v>
      </c>
      <c r="M4" s="39">
        <v>5000000</v>
      </c>
      <c r="N4" s="37">
        <f>SUMIFS(AugTable[Jumlah (Rp)],AugTable[Tipe],"Pemasukan",AugTable[Kategori],"Gaji")</f>
        <v>0</v>
      </c>
      <c r="O4" s="37">
        <f ca="1">IF(OR(N4&gt;1000000,TODAY()&gt;$AD$2),0,N(M4))</f>
        <v>0</v>
      </c>
      <c r="P4" s="35" t="str">
        <f ca="1">IF(N4&gt;1000000,"sudah cair",IF(TODAY()&gt;$AD$2,"bulan sudah lewat",IF(N(M4)=0,"isi estimasi dulu","menunggu tgl 25")))</f>
        <v>bulan sudah lewat</v>
      </c>
      <c r="Q4" s="33"/>
      <c r="R4" s="36">
        <v>2</v>
      </c>
      <c r="S4" s="38">
        <f>IF($AE$7=0,"",INDEX(AugTable[Tanggal],$AE$7))</f>
        <v>0</v>
      </c>
      <c r="T4" s="35">
        <f>IF($AE$7=0,"",INDEX(AugTable[Kategori],$AE$7))</f>
        <v>0</v>
      </c>
      <c r="U4" s="37">
        <f>IF($AE$7=0,"",INDEX(AugTable[Jumlah (Rp)],$AE$7))</f>
        <v>0</v>
      </c>
      <c r="V4" s="35">
        <f>IF($AE$7=0,"",INDEX(AugTable[Keterangan],$AE$7))</f>
        <v>0</v>
      </c>
      <c r="AD4" s="33">
        <f>DAY(AD2)</f>
        <v>31</v>
      </c>
      <c r="AE4" s="33"/>
      <c r="AF4" s="33">
        <v>3</v>
      </c>
      <c r="AG4" s="33">
        <f t="shared" si="1"/>
        <v>46237</v>
      </c>
      <c r="AH4" s="33">
        <f ca="1">IF(OR(AF4&gt;$AD$4,AF4&gt;$AD$3),NA(),SUMIFS(AugTable[Jumlah (Rp)],AugTable[Tipe],"Pengeluaran",AugTable[Tanggal],"&lt;="&amp;AG4))</f>
        <v>0</v>
      </c>
      <c r="AI4" s="33">
        <f>IF(AF4&gt;$AD$4,NA(),Rekap!$B$19/$AD$4*AF4)</f>
        <v>22959.677419354837</v>
      </c>
      <c r="AJ4" s="33" t="str">
        <f>Master!$A$8</f>
        <v>Kategori Uji 04</v>
      </c>
      <c r="AK4" s="33">
        <f>SUMIFS(AugTable[Jumlah (Rp)],AugTable[Tipe],"Pengeluaran",AugTable[Kategori],AJ4)</f>
        <v>0</v>
      </c>
      <c r="AL4" s="33">
        <f>SUMIFS(JulyTable[Jumlah (Rp)],JulyTable[Tipe],"Pengeluaran",JulyTable[Kategori],AJ4)</f>
        <v>0</v>
      </c>
      <c r="AM4" s="33">
        <f t="shared" si="0"/>
        <v>3.9999999999999998E-6</v>
      </c>
      <c r="AN4" s="33">
        <f>SUMPRODUCT(MAX(($AM$1:$AM$23&lt;AN3)*$AM$1:$AM$23))</f>
        <v>2.0000000000000002E-5</v>
      </c>
      <c r="AO4" s="33">
        <f>IFERROR(MATCH(AN4,$AM$1:$AM$23,0),0)</f>
        <v>20</v>
      </c>
    </row>
    <row r="5" spans="1:41" ht="24.75" customHeight="1" x14ac:dyDescent="0.25">
      <c r="A5" s="1" t="s">
        <v>49</v>
      </c>
      <c r="B5" s="1" t="s">
        <v>65</v>
      </c>
      <c r="C5" s="3" t="s">
        <v>66</v>
      </c>
      <c r="D5" s="1" t="s">
        <v>25</v>
      </c>
      <c r="E5" s="1" t="s">
        <v>67</v>
      </c>
      <c r="F5" s="1" t="s">
        <v>61</v>
      </c>
      <c r="K5" s="35" t="s">
        <v>145</v>
      </c>
      <c r="L5" s="36">
        <v>20</v>
      </c>
      <c r="M5" s="39">
        <v>1000000</v>
      </c>
      <c r="N5" s="37">
        <f>SUMIFS(AugTable[Jumlah (Rp)],AugTable[Tipe],"Pemasukan",AugTable[Kategori],"Freelance")</f>
        <v>0</v>
      </c>
      <c r="O5" s="37">
        <f ca="1">IF(OR(N5&gt;0,TODAY()&gt;$AD$2),0,N(M5))</f>
        <v>0</v>
      </c>
      <c r="P5" s="35" t="str">
        <f ca="1">IF(N5&gt;0,"sudah cair",IF(TODAY()&gt;$AD$2,"bulan sudah lewat",IF(N(M5)=0,"isi estimasi dulu","menunggu tgl 28")))</f>
        <v>bulan sudah lewat</v>
      </c>
      <c r="Q5" s="33"/>
      <c r="R5" s="36">
        <v>3</v>
      </c>
      <c r="S5" s="38">
        <f>IF($AE$8=0,"",INDEX(AugTable[Tanggal],$AE$8))</f>
        <v>0</v>
      </c>
      <c r="T5" s="35">
        <f>IF($AE$8=0,"",INDEX(AugTable[Kategori],$AE$8))</f>
        <v>0</v>
      </c>
      <c r="U5" s="37">
        <f>IF($AE$8=0,"",INDEX(AugTable[Jumlah (Rp)],$AE$8))</f>
        <v>0</v>
      </c>
      <c r="V5" s="35">
        <f>IF($AE$8=0,"",INDEX(AugTable[Keterangan],$AE$8))</f>
        <v>0</v>
      </c>
      <c r="AD5" s="33"/>
      <c r="AE5" s="33"/>
      <c r="AF5" s="33">
        <v>4</v>
      </c>
      <c r="AG5" s="33">
        <f t="shared" si="1"/>
        <v>46238</v>
      </c>
      <c r="AH5" s="33">
        <f ca="1">IF(OR(AF5&gt;$AD$4,AF5&gt;$AD$3),NA(),SUMIFS(AugTable[Jumlah (Rp)],AugTable[Tipe],"Pengeluaran",AugTable[Tanggal],"&lt;="&amp;AG5))</f>
        <v>0</v>
      </c>
      <c r="AI5" s="33">
        <f>IF(AF5&gt;$AD$4,NA(),Rekap!$B$19/$AD$4*AF5)</f>
        <v>30612.903225806451</v>
      </c>
      <c r="AJ5" s="33" t="str">
        <f>Master!$A$9</f>
        <v>Kategori Uji 05</v>
      </c>
      <c r="AK5" s="33">
        <f>SUMIFS(AugTable[Jumlah (Rp)],AugTable[Tipe],"Pengeluaran",AugTable[Kategori],AJ5)</f>
        <v>0</v>
      </c>
      <c r="AL5" s="33">
        <f>SUMIFS(JulyTable[Jumlah (Rp)],JulyTable[Tipe],"Pengeluaran",JulyTable[Kategori],AJ5)</f>
        <v>0</v>
      </c>
      <c r="AM5" s="33">
        <f t="shared" si="0"/>
        <v>5.0000000000000004E-6</v>
      </c>
      <c r="AN5" s="33">
        <f>SUMPRODUCT(MAX(($AM$1:$AM$23&lt;AN4)*$AM$1:$AM$23))</f>
        <v>1.9000000000000001E-5</v>
      </c>
      <c r="AO5" s="33">
        <f>IFERROR(MATCH(AN5,$AM$1:$AM$23,0),0)</f>
        <v>19</v>
      </c>
    </row>
    <row r="6" spans="1:41" ht="24.75" customHeight="1" x14ac:dyDescent="0.25">
      <c r="A6" s="5"/>
      <c r="B6" s="3"/>
      <c r="C6" s="3"/>
      <c r="D6" s="3"/>
      <c r="E6" s="6"/>
      <c r="F6" s="4"/>
      <c r="K6" s="40" t="s">
        <v>21</v>
      </c>
      <c r="L6" s="41"/>
      <c r="M6" s="42">
        <f>SUM(M3:M5)</f>
        <v>6000000</v>
      </c>
      <c r="N6" s="42">
        <f>SUM(N3:N5)</f>
        <v>0</v>
      </c>
      <c r="O6" s="42">
        <f ca="1">SUM(O3:O5)</f>
        <v>0</v>
      </c>
      <c r="P6" s="41"/>
      <c r="Q6" s="33"/>
      <c r="R6" s="36">
        <v>4</v>
      </c>
      <c r="S6" s="38">
        <f>IF($AE$9=0,"",INDEX(AugTable[Tanggal],$AE$9))</f>
        <v>0</v>
      </c>
      <c r="T6" s="35">
        <f>IF($AE$9=0,"",INDEX(AugTable[Kategori],$AE$9))</f>
        <v>0</v>
      </c>
      <c r="U6" s="37">
        <f>IF($AE$9=0,"",INDEX(AugTable[Jumlah (Rp)],$AE$9))</f>
        <v>0</v>
      </c>
      <c r="V6" s="35">
        <f>IF($AE$9=0,"",INDEX(AugTable[Keterangan],$AE$9))</f>
        <v>0</v>
      </c>
      <c r="AD6" s="33">
        <f>SUMPRODUCT(MAX((AugTable[Tipe]="Pengeluaran")*(AugTable[Jumlah (Rp)]+ROW(AugTable[Jumlah (Rp)])/1000000)))</f>
        <v>0</v>
      </c>
      <c r="AE6" s="33">
        <f>IFERROR(SUMPRODUCT(MATCH(AD6,(AugTable[Tipe]="Pengeluaran")*(AugTable[Jumlah (Rp)]+ROW(AugTable[Jumlah (Rp)])/1000000),0)),0)</f>
        <v>1</v>
      </c>
      <c r="AF6" s="33">
        <v>5</v>
      </c>
      <c r="AG6" s="33">
        <f t="shared" si="1"/>
        <v>46239</v>
      </c>
      <c r="AH6" s="33">
        <f ca="1">IF(OR(AF6&gt;$AD$4,AF6&gt;$AD$3),NA(),SUMIFS(AugTable[Jumlah (Rp)],AugTable[Tipe],"Pengeluaran",AugTable[Tanggal],"&lt;="&amp;AG6))</f>
        <v>0</v>
      </c>
      <c r="AI6" s="33">
        <f>IF(AF6&gt;$AD$4,NA(),Rekap!$B$19/$AD$4*AF6)</f>
        <v>38266.129032258061</v>
      </c>
      <c r="AJ6" s="33" t="str">
        <f>Master!$A$10</f>
        <v>Kategori Uji 06</v>
      </c>
      <c r="AK6" s="33">
        <f>SUMIFS(AugTable[Jumlah (Rp)],AugTable[Tipe],"Pengeluaran",AugTable[Kategori],AJ6)</f>
        <v>0</v>
      </c>
      <c r="AL6" s="33">
        <f>SUMIFS(JulyTable[Jumlah (Rp)],JulyTable[Tipe],"Pengeluaran",JulyTable[Kategori],AJ6)</f>
        <v>0</v>
      </c>
      <c r="AM6" s="33">
        <f t="shared" si="0"/>
        <v>6.0000000000000002E-6</v>
      </c>
      <c r="AN6" s="33"/>
      <c r="AO6" s="33"/>
    </row>
    <row r="7" spans="1:41" ht="24.75" customHeight="1" x14ac:dyDescent="0.25">
      <c r="A7" s="5"/>
      <c r="B7" s="3"/>
      <c r="C7" s="3"/>
      <c r="D7" s="3"/>
      <c r="E7" s="6"/>
      <c r="F7" s="4"/>
      <c r="K7" s="33"/>
      <c r="L7" s="33"/>
      <c r="M7" s="33"/>
      <c r="N7" s="33"/>
      <c r="O7" s="33"/>
      <c r="P7" s="33"/>
      <c r="Q7" s="33"/>
      <c r="R7" s="36">
        <v>5</v>
      </c>
      <c r="S7" s="38">
        <f>IF($AE$10=0,"",INDEX(AugTable[Tanggal],$AE$10))</f>
        <v>0</v>
      </c>
      <c r="T7" s="35">
        <f>IF($AE$10=0,"",INDEX(AugTable[Kategori],$AE$10))</f>
        <v>0</v>
      </c>
      <c r="U7" s="37">
        <f>IF($AE$10=0,"",INDEX(AugTable[Jumlah (Rp)],$AE$10))</f>
        <v>0</v>
      </c>
      <c r="V7" s="35">
        <f>IF($AE$10=0,"",INDEX(AugTable[Keterangan],$AE$10))</f>
        <v>0</v>
      </c>
      <c r="AD7" s="33">
        <f>SUMPRODUCT(MAX((AugTable[Tipe]="Pengeluaran")*((AugTable[Jumlah (Rp)]+ROW(AugTable[Jumlah (Rp)])/1000000)&lt;AD6)*(AugTable[Jumlah (Rp)]+ROW(AugTable[Jumlah (Rp)])/1000000)))</f>
        <v>0</v>
      </c>
      <c r="AE7" s="33">
        <f>IFERROR(SUMPRODUCT(MATCH(AD7,(AugTable[Tipe]="Pengeluaran")*(AugTable[Jumlah (Rp)]+ROW(AugTable[Jumlah (Rp)])/1000000),0)),0)</f>
        <v>1</v>
      </c>
      <c r="AF7" s="33">
        <v>6</v>
      </c>
      <c r="AG7" s="33">
        <f t="shared" si="1"/>
        <v>46240</v>
      </c>
      <c r="AH7" s="33">
        <f ca="1">IF(OR(AF7&gt;$AD$4,AF7&gt;$AD$3),NA(),SUMIFS(AugTable[Jumlah (Rp)],AugTable[Tipe],"Pengeluaran",AugTable[Tanggal],"&lt;="&amp;AG7))</f>
        <v>0</v>
      </c>
      <c r="AI7" s="33">
        <f>IF(AF7&gt;$AD$4,NA(),Rekap!$B$19/$AD$4*AF7)</f>
        <v>45919.354838709674</v>
      </c>
      <c r="AJ7" s="33" t="str">
        <f>Master!$A$11</f>
        <v>Kategori Uji 07</v>
      </c>
      <c r="AK7" s="33">
        <f>SUMIFS(AugTable[Jumlah (Rp)],AugTable[Tipe],"Pengeluaran",AugTable[Kategori],AJ7)</f>
        <v>0</v>
      </c>
      <c r="AL7" s="33">
        <f>SUMIFS(JulyTable[Jumlah (Rp)],JulyTable[Tipe],"Pengeluaran",JulyTable[Kategori],AJ7)</f>
        <v>0</v>
      </c>
      <c r="AM7" s="33">
        <f t="shared" si="0"/>
        <v>6.9999999999999999E-6</v>
      </c>
      <c r="AN7" s="33"/>
      <c r="AO7" s="33"/>
    </row>
    <row r="8" spans="1:41" ht="24.75" customHeight="1" x14ac:dyDescent="0.25">
      <c r="A8" s="5"/>
      <c r="B8" s="3"/>
      <c r="C8" s="3"/>
      <c r="D8" s="3"/>
      <c r="E8" s="6"/>
      <c r="F8" s="4"/>
      <c r="K8" s="43" t="s">
        <v>68</v>
      </c>
      <c r="L8" s="33"/>
      <c r="M8" s="33"/>
      <c r="N8" s="33"/>
      <c r="O8" s="33"/>
      <c r="P8" s="33"/>
      <c r="Q8" s="33"/>
      <c r="R8" s="52" t="s">
        <v>69</v>
      </c>
      <c r="S8" s="55"/>
      <c r="T8" s="55"/>
      <c r="U8" s="42">
        <f>SUM(U3:U7)</f>
        <v>0</v>
      </c>
      <c r="V8" s="44">
        <f>IFERROR(U8/$D$3,0)</f>
        <v>0</v>
      </c>
      <c r="AD8" s="33">
        <f>SUMPRODUCT(MAX((AugTable[Tipe]="Pengeluaran")*((AugTable[Jumlah (Rp)]+ROW(AugTable[Jumlah (Rp)])/1000000)&lt;AD7)*(AugTable[Jumlah (Rp)]+ROW(AugTable[Jumlah (Rp)])/1000000)))</f>
        <v>0</v>
      </c>
      <c r="AE8" s="33">
        <f>IFERROR(SUMPRODUCT(MATCH(AD8,(AugTable[Tipe]="Pengeluaran")*(AugTable[Jumlah (Rp)]+ROW(AugTable[Jumlah (Rp)])/1000000),0)),0)</f>
        <v>1</v>
      </c>
      <c r="AF8" s="33">
        <v>7</v>
      </c>
      <c r="AG8" s="33">
        <f t="shared" si="1"/>
        <v>46241</v>
      </c>
      <c r="AH8" s="33">
        <f ca="1">IF(OR(AF8&gt;$AD$4,AF8&gt;$AD$3),NA(),SUMIFS(AugTable[Jumlah (Rp)],AugTable[Tipe],"Pengeluaran",AugTable[Tanggal],"&lt;="&amp;AG8))</f>
        <v>0</v>
      </c>
      <c r="AI8" s="33">
        <f>IF(AF8&gt;$AD$4,NA(),Rekap!$B$19/$AD$4*AF8)</f>
        <v>53572.580645161288</v>
      </c>
      <c r="AJ8" s="33" t="str">
        <f>Master!$A$12</f>
        <v>Kategori Uji 08</v>
      </c>
      <c r="AK8" s="33">
        <f>SUMIFS(AugTable[Jumlah (Rp)],AugTable[Tipe],"Pengeluaran",AugTable[Kategori],AJ8)</f>
        <v>0</v>
      </c>
      <c r="AL8" s="33">
        <f>SUMIFS(JulyTable[Jumlah (Rp)],JulyTable[Tipe],"Pengeluaran",JulyTable[Kategori],AJ8)</f>
        <v>0</v>
      </c>
      <c r="AM8" s="33">
        <f t="shared" si="0"/>
        <v>7.9999999999999996E-6</v>
      </c>
      <c r="AN8" s="33"/>
      <c r="AO8" s="33"/>
    </row>
    <row r="9" spans="1:41" ht="24.75" customHeight="1" x14ac:dyDescent="0.25">
      <c r="A9" s="5"/>
      <c r="B9" s="3"/>
      <c r="C9" s="3"/>
      <c r="D9" s="3"/>
      <c r="E9" s="6"/>
      <c r="F9" s="4"/>
      <c r="K9" s="56" t="s">
        <v>61</v>
      </c>
      <c r="L9" s="53"/>
      <c r="M9" s="34" t="s">
        <v>70</v>
      </c>
      <c r="N9" s="33"/>
      <c r="O9" s="33"/>
      <c r="P9" s="33"/>
      <c r="Q9" s="33"/>
      <c r="R9" s="33"/>
      <c r="S9" s="33"/>
      <c r="T9" s="33"/>
      <c r="U9" s="33"/>
      <c r="V9" s="33"/>
      <c r="AD9" s="33">
        <f>SUMPRODUCT(MAX((AugTable[Tipe]="Pengeluaran")*((AugTable[Jumlah (Rp)]+ROW(AugTable[Jumlah (Rp)])/1000000)&lt;AD8)*(AugTable[Jumlah (Rp)]+ROW(AugTable[Jumlah (Rp)])/1000000)))</f>
        <v>0</v>
      </c>
      <c r="AE9" s="33">
        <f>IFERROR(SUMPRODUCT(MATCH(AD9,(AugTable[Tipe]="Pengeluaran")*(AugTable[Jumlah (Rp)]+ROW(AugTable[Jumlah (Rp)])/1000000),0)),0)</f>
        <v>1</v>
      </c>
      <c r="AF9" s="33">
        <v>8</v>
      </c>
      <c r="AG9" s="33">
        <f t="shared" si="1"/>
        <v>46242</v>
      </c>
      <c r="AH9" s="33">
        <f ca="1">IF(OR(AF9&gt;$AD$4,AF9&gt;$AD$3),NA(),SUMIFS(AugTable[Jumlah (Rp)],AugTable[Tipe],"Pengeluaran",AugTable[Tanggal],"&lt;="&amp;AG9))</f>
        <v>0</v>
      </c>
      <c r="AI9" s="33">
        <f>IF(AF9&gt;$AD$4,NA(),Rekap!$B$19/$AD$4*AF9)</f>
        <v>61225.806451612902</v>
      </c>
      <c r="AJ9" s="33" t="str">
        <f>Master!$A$13</f>
        <v>Kategori Uji 09</v>
      </c>
      <c r="AK9" s="33">
        <f>SUMIFS(AugTable[Jumlah (Rp)],AugTable[Tipe],"Pengeluaran",AugTable[Kategori],AJ9)</f>
        <v>0</v>
      </c>
      <c r="AL9" s="33">
        <f>SUMIFS(JulyTable[Jumlah (Rp)],JulyTable[Tipe],"Pengeluaran",JulyTable[Kategori],AJ9)</f>
        <v>0</v>
      </c>
      <c r="AM9" s="33">
        <f t="shared" si="0"/>
        <v>9.0000000000000002E-6</v>
      </c>
      <c r="AN9" s="33"/>
      <c r="AO9" s="33"/>
    </row>
    <row r="10" spans="1:41" ht="24.75" customHeight="1" x14ac:dyDescent="0.25">
      <c r="A10" s="5"/>
      <c r="B10" s="3"/>
      <c r="C10" s="3"/>
      <c r="D10" s="3"/>
      <c r="E10" s="6"/>
      <c r="F10" s="4"/>
      <c r="K10" s="54" t="str">
        <f>"Hari kerja "&amp;TEXT($AD$1-1,"mmmm")</f>
        <v>Hari kerja July</v>
      </c>
      <c r="L10" s="53"/>
      <c r="M10" s="45"/>
      <c r="N10" s="33"/>
      <c r="O10" s="33"/>
      <c r="P10" s="33"/>
      <c r="Q10" s="33"/>
      <c r="R10" s="32" t="s">
        <v>71</v>
      </c>
      <c r="S10" s="33"/>
      <c r="T10" s="33"/>
      <c r="U10" s="33"/>
      <c r="V10" s="33"/>
      <c r="AD10" s="33">
        <f>SUMPRODUCT(MAX((AugTable[Tipe]="Pengeluaran")*((AugTable[Jumlah (Rp)]+ROW(AugTable[Jumlah (Rp)])/1000000)&lt;AD9)*(AugTable[Jumlah (Rp)]+ROW(AugTable[Jumlah (Rp)])/1000000)))</f>
        <v>0</v>
      </c>
      <c r="AE10" s="33">
        <f>IFERROR(SUMPRODUCT(MATCH(AD10,(AugTable[Tipe]="Pengeluaran")*(AugTable[Jumlah (Rp)]+ROW(AugTable[Jumlah (Rp)])/1000000),0)),0)</f>
        <v>1</v>
      </c>
      <c r="AF10" s="33">
        <v>9</v>
      </c>
      <c r="AG10" s="33">
        <f t="shared" si="1"/>
        <v>46243</v>
      </c>
      <c r="AH10" s="33">
        <f ca="1">IF(OR(AF10&gt;$AD$4,AF10&gt;$AD$3),NA(),SUMIFS(AugTable[Jumlah (Rp)],AugTable[Tipe],"Pengeluaran",AugTable[Tanggal],"&lt;="&amp;AG10))</f>
        <v>0</v>
      </c>
      <c r="AI10" s="33">
        <f>IF(AF10&gt;$AD$4,NA(),Rekap!$B$19/$AD$4*AF10)</f>
        <v>68879.032258064515</v>
      </c>
      <c r="AJ10" s="33" t="str">
        <f>Master!$A$14</f>
        <v>Kategori Uji 10</v>
      </c>
      <c r="AK10" s="33">
        <f>SUMIFS(AugTable[Jumlah (Rp)],AugTable[Tipe],"Pengeluaran",AugTable[Kategori],AJ10)</f>
        <v>0</v>
      </c>
      <c r="AL10" s="33">
        <f>SUMIFS(JulyTable[Jumlah (Rp)],JulyTable[Tipe],"Pengeluaran",JulyTable[Kategori],AJ10)</f>
        <v>0</v>
      </c>
      <c r="AM10" s="33">
        <f t="shared" si="0"/>
        <v>1.0000000000000001E-5</v>
      </c>
      <c r="AN10" s="33"/>
      <c r="AO10" s="33"/>
    </row>
    <row r="11" spans="1:41" ht="24.75" customHeight="1" x14ac:dyDescent="0.25">
      <c r="A11" s="5"/>
      <c r="B11" s="3"/>
      <c r="C11" s="3"/>
      <c r="D11" s="3"/>
      <c r="E11" s="6"/>
      <c r="F11" s="4"/>
      <c r="K11" s="54" t="s">
        <v>72</v>
      </c>
      <c r="L11" s="53"/>
      <c r="M11" s="39">
        <v>50000</v>
      </c>
      <c r="N11" s="33"/>
      <c r="O11" s="33"/>
      <c r="P11" s="33"/>
      <c r="Q11" s="33"/>
      <c r="R11" s="34" t="s">
        <v>84</v>
      </c>
      <c r="S11" s="34" t="s">
        <v>101</v>
      </c>
      <c r="T11" s="34" t="s">
        <v>102</v>
      </c>
      <c r="U11" s="34" t="s">
        <v>5</v>
      </c>
      <c r="V11" s="34" t="s">
        <v>95</v>
      </c>
      <c r="AD11" s="33"/>
      <c r="AE11" s="33"/>
      <c r="AF11" s="33">
        <v>10</v>
      </c>
      <c r="AG11" s="33">
        <f t="shared" si="1"/>
        <v>46244</v>
      </c>
      <c r="AH11" s="33">
        <f ca="1">IF(OR(AF11&gt;$AD$4,AF11&gt;$AD$3),NA(),SUMIFS(AugTable[Jumlah (Rp)],AugTable[Tipe],"Pengeluaran",AugTable[Tanggal],"&lt;="&amp;AG11))</f>
        <v>0</v>
      </c>
      <c r="AI11" s="33">
        <f>IF(AF11&gt;$AD$4,NA(),Rekap!$B$19/$AD$4*AF11)</f>
        <v>76532.258064516122</v>
      </c>
      <c r="AJ11" s="33" t="str">
        <f>Master!$A$15</f>
        <v>Kategori Uji 11</v>
      </c>
      <c r="AK11" s="33">
        <f>SUMIFS(AugTable[Jumlah (Rp)],AugTable[Tipe],"Pengeluaran",AugTable[Kategori],AJ11)</f>
        <v>0</v>
      </c>
      <c r="AL11" s="33">
        <f>SUMIFS(JulyTable[Jumlah (Rp)],JulyTable[Tipe],"Pengeluaran",JulyTable[Kategori],AJ11)</f>
        <v>0</v>
      </c>
      <c r="AM11" s="33">
        <f t="shared" si="0"/>
        <v>1.1E-5</v>
      </c>
      <c r="AN11" s="33"/>
      <c r="AO11" s="33"/>
    </row>
    <row r="12" spans="1:41" ht="24.75" customHeight="1" x14ac:dyDescent="0.25">
      <c r="A12" s="5"/>
      <c r="B12" s="3"/>
      <c r="C12" s="3"/>
      <c r="D12" s="3"/>
      <c r="E12" s="6"/>
      <c r="F12" s="4"/>
      <c r="H12" s="9" t="s">
        <v>65</v>
      </c>
      <c r="I12" t="s">
        <v>118</v>
      </c>
      <c r="K12" s="33"/>
      <c r="L12" s="33"/>
      <c r="M12" s="33"/>
      <c r="N12" s="33"/>
      <c r="O12" s="33"/>
      <c r="P12" s="33"/>
      <c r="Q12" s="33"/>
      <c r="R12" s="35" t="s">
        <v>3</v>
      </c>
      <c r="S12" s="37">
        <f>SUMIFS(JulyTable[Jumlah (Rp)],JulyTable[Tipe],"Pemasukan")</f>
        <v>0</v>
      </c>
      <c r="T12" s="37">
        <f>SUMIFS(AugTable[Jumlah (Rp)],AugTable[Tipe],"Pemasukan")</f>
        <v>0</v>
      </c>
      <c r="U12" s="37">
        <f>T12-S12</f>
        <v>0</v>
      </c>
      <c r="V12" s="48" t="str">
        <f>IFERROR(U12/S12,"")</f>
        <v/>
      </c>
      <c r="AD12" s="33"/>
      <c r="AE12" s="33"/>
      <c r="AF12" s="33">
        <v>11</v>
      </c>
      <c r="AG12" s="33">
        <f t="shared" si="1"/>
        <v>46245</v>
      </c>
      <c r="AH12" s="33">
        <f ca="1">IF(OR(AF12&gt;$AD$4,AF12&gt;$AD$3),NA(),SUMIFS(AugTable[Jumlah (Rp)],AugTable[Tipe],"Pengeluaran",AugTable[Tanggal],"&lt;="&amp;AG12))</f>
        <v>0</v>
      </c>
      <c r="AI12" s="33">
        <f>IF(AF12&gt;$AD$4,NA(),Rekap!$B$19/$AD$4*AF12)</f>
        <v>84185.483870967742</v>
      </c>
      <c r="AJ12" s="33" t="str">
        <f>Master!$A$16</f>
        <v>Kategori Uji 12</v>
      </c>
      <c r="AK12" s="33">
        <f>SUMIFS(AugTable[Jumlah (Rp)],AugTable[Tipe],"Pengeluaran",AugTable[Kategori],AJ12)</f>
        <v>0</v>
      </c>
      <c r="AL12" s="33">
        <f>SUMIFS(JulyTable[Jumlah (Rp)],JulyTable[Tipe],"Pengeluaran",JulyTable[Kategori],AJ12)</f>
        <v>0</v>
      </c>
      <c r="AM12" s="33">
        <f t="shared" si="0"/>
        <v>1.2E-5</v>
      </c>
      <c r="AN12" s="33"/>
      <c r="AO12" s="33"/>
    </row>
    <row r="13" spans="1:41" ht="24.75" customHeight="1" x14ac:dyDescent="0.25">
      <c r="A13" s="5"/>
      <c r="B13" s="3"/>
      <c r="C13" s="3"/>
      <c r="D13" s="3"/>
      <c r="E13" s="6"/>
      <c r="F13" s="4"/>
      <c r="H13" s="57" t="s">
        <v>74</v>
      </c>
      <c r="I13" s="58"/>
      <c r="K13" s="43" t="s">
        <v>75</v>
      </c>
      <c r="L13" s="33"/>
      <c r="M13" s="33"/>
      <c r="N13" s="33"/>
      <c r="O13" s="33"/>
      <c r="P13" s="33"/>
      <c r="Q13" s="33"/>
      <c r="R13" s="35" t="s">
        <v>4</v>
      </c>
      <c r="S13" s="37">
        <f>SUMIFS(JulyTable[Jumlah (Rp)],JulyTable[Tipe],"Pengeluaran")</f>
        <v>0</v>
      </c>
      <c r="T13" s="37">
        <f>SUMIFS(AugTable[Jumlah (Rp)],AugTable[Tipe],"Pengeluaran")</f>
        <v>0</v>
      </c>
      <c r="U13" s="37">
        <f>T13-S13</f>
        <v>0</v>
      </c>
      <c r="V13" s="48" t="str">
        <f>IFERROR(U13/S13,"")</f>
        <v/>
      </c>
      <c r="AD13" s="33"/>
      <c r="AE13" s="33"/>
      <c r="AF13" s="33">
        <v>12</v>
      </c>
      <c r="AG13" s="33">
        <f t="shared" si="1"/>
        <v>46246</v>
      </c>
      <c r="AH13" s="33">
        <f ca="1">IF(OR(AF13&gt;$AD$4,AF13&gt;$AD$3),NA(),SUMIFS(AugTable[Jumlah (Rp)],AugTable[Tipe],"Pengeluaran",AugTable[Tanggal],"&lt;="&amp;AG13))</f>
        <v>0</v>
      </c>
      <c r="AI13" s="33">
        <f>IF(AF13&gt;$AD$4,NA(),Rekap!$B$19/$AD$4*AF13)</f>
        <v>91838.709677419349</v>
      </c>
      <c r="AJ13" s="33" t="str">
        <f>Master!$A$17</f>
        <v>Kategori Uji 13</v>
      </c>
      <c r="AK13" s="33">
        <f>SUMIFS(AugTable[Jumlah (Rp)],AugTable[Tipe],"Pengeluaran",AugTable[Kategori],AJ13)</f>
        <v>0</v>
      </c>
      <c r="AL13" s="33">
        <f>SUMIFS(JulyTable[Jumlah (Rp)],JulyTable[Tipe],"Pengeluaran",JulyTable[Kategori],AJ13)</f>
        <v>0</v>
      </c>
      <c r="AM13" s="33">
        <f t="shared" si="0"/>
        <v>1.2999999999999999E-5</v>
      </c>
      <c r="AN13" s="33"/>
      <c r="AO13" s="33"/>
    </row>
    <row r="14" spans="1:41" ht="24.75" customHeight="1" x14ac:dyDescent="0.25">
      <c r="A14" s="5"/>
      <c r="B14" s="3"/>
      <c r="C14" s="3"/>
      <c r="D14" s="3"/>
      <c r="E14" s="6"/>
      <c r="F14" s="4"/>
      <c r="H14" s="9" t="s">
        <v>25</v>
      </c>
      <c r="I14" t="s">
        <v>76</v>
      </c>
      <c r="K14" s="56" t="s">
        <v>61</v>
      </c>
      <c r="L14" s="53"/>
      <c r="M14" s="34" t="s">
        <v>70</v>
      </c>
      <c r="N14" s="33"/>
      <c r="O14" s="33"/>
      <c r="P14" s="33"/>
      <c r="Q14" s="33"/>
      <c r="R14" s="35" t="s">
        <v>96</v>
      </c>
      <c r="S14" s="47">
        <f>COUNTA(JulyTable[Tanggal])</f>
        <v>0</v>
      </c>
      <c r="T14" s="47">
        <f>COUNTA(AugTable[Tanggal])</f>
        <v>0</v>
      </c>
      <c r="U14" s="47">
        <f>T14-S14</f>
        <v>0</v>
      </c>
      <c r="V14" s="48" t="str">
        <f>IFERROR(U14/S14,"")</f>
        <v/>
      </c>
      <c r="AD14" s="33"/>
      <c r="AE14" s="33"/>
      <c r="AF14" s="33">
        <v>13</v>
      </c>
      <c r="AG14" s="33">
        <f t="shared" si="1"/>
        <v>46247</v>
      </c>
      <c r="AH14" s="33">
        <f ca="1">IF(OR(AF14&gt;$AD$4,AF14&gt;$AD$3),NA(),SUMIFS(AugTable[Jumlah (Rp)],AugTable[Tipe],"Pengeluaran",AugTable[Tanggal],"&lt;="&amp;AG14))</f>
        <v>0</v>
      </c>
      <c r="AI14" s="33">
        <f>IF(AF14&gt;$AD$4,NA(),Rekap!$B$19/$AD$4*AF14)</f>
        <v>99491.93548387097</v>
      </c>
      <c r="AJ14" s="33" t="str">
        <f>Master!$A$18</f>
        <v>Kategori Uji 14</v>
      </c>
      <c r="AK14" s="33">
        <f>SUMIFS(AugTable[Jumlah (Rp)],AugTable[Tipe],"Pengeluaran",AugTable[Kategori],AJ14)</f>
        <v>0</v>
      </c>
      <c r="AL14" s="33">
        <f>SUMIFS(JulyTable[Jumlah (Rp)],JulyTable[Tipe],"Pengeluaran",JulyTable[Kategori],AJ14)</f>
        <v>0</v>
      </c>
      <c r="AM14" s="33">
        <f t="shared" si="0"/>
        <v>1.4E-5</v>
      </c>
      <c r="AN14" s="33"/>
      <c r="AO14" s="33"/>
    </row>
    <row r="15" spans="1:41" ht="24.75" customHeight="1" x14ac:dyDescent="0.25">
      <c r="A15" s="5"/>
      <c r="B15" s="3"/>
      <c r="C15" s="3"/>
      <c r="D15" s="3"/>
      <c r="E15" s="6"/>
      <c r="F15" s="4"/>
      <c r="H15" s="10" t="s">
        <v>119</v>
      </c>
      <c r="I15" s="7"/>
      <c r="K15" s="54" t="s">
        <v>77</v>
      </c>
      <c r="L15" s="53"/>
      <c r="M15" s="37">
        <f>D2</f>
        <v>0</v>
      </c>
      <c r="N15" s="33"/>
      <c r="O15" s="33"/>
      <c r="P15" s="33"/>
      <c r="Q15" s="33"/>
      <c r="R15" s="35" t="s">
        <v>97</v>
      </c>
      <c r="S15" s="37">
        <f>IFERROR(S13/S14,0)</f>
        <v>0</v>
      </c>
      <c r="T15" s="37">
        <f>IFERROR(T13/T14,0)</f>
        <v>0</v>
      </c>
      <c r="U15" s="37">
        <f>T15-S15</f>
        <v>0</v>
      </c>
      <c r="V15" s="48" t="str">
        <f>IFERROR(U15/S15,"")</f>
        <v/>
      </c>
      <c r="AD15" s="33"/>
      <c r="AE15" s="33"/>
      <c r="AF15" s="33">
        <v>14</v>
      </c>
      <c r="AG15" s="33">
        <f t="shared" si="1"/>
        <v>46248</v>
      </c>
      <c r="AH15" s="33">
        <f ca="1">IF(OR(AF15&gt;$AD$4,AF15&gt;$AD$3),NA(),SUMIFS(AugTable[Jumlah (Rp)],AugTable[Tipe],"Pengeluaran",AugTable[Tanggal],"&lt;="&amp;AG15))</f>
        <v>0</v>
      </c>
      <c r="AI15" s="33">
        <f>IF(AF15&gt;$AD$4,NA(),Rekap!$B$19/$AD$4*AF15)</f>
        <v>107145.16129032258</v>
      </c>
      <c r="AJ15" s="33" t="str">
        <f>Master!$A$19</f>
        <v>Kategori Uji 15</v>
      </c>
      <c r="AK15" s="33">
        <f>SUMIFS(AugTable[Jumlah (Rp)],AugTable[Tipe],"Pengeluaran",AugTable[Kategori],AJ15)</f>
        <v>0</v>
      </c>
      <c r="AL15" s="33">
        <f>SUMIFS(JulyTable[Jumlah (Rp)],JulyTable[Tipe],"Pengeluaran",JulyTable[Kategori],AJ15)</f>
        <v>0</v>
      </c>
      <c r="AM15" s="33">
        <f t="shared" si="0"/>
        <v>1.5E-5</v>
      </c>
      <c r="AN15" s="33"/>
      <c r="AO15" s="33"/>
    </row>
    <row r="16" spans="1:41" ht="24.75" customHeight="1" x14ac:dyDescent="0.25">
      <c r="A16" s="5"/>
      <c r="B16" s="3"/>
      <c r="C16" s="3"/>
      <c r="D16" s="3"/>
      <c r="E16" s="6"/>
      <c r="F16" s="4"/>
      <c r="H16" s="10" t="s">
        <v>92</v>
      </c>
      <c r="I16" s="7"/>
      <c r="K16" s="54" t="s">
        <v>57</v>
      </c>
      <c r="L16" s="53"/>
      <c r="M16" s="37">
        <f ca="1">O6</f>
        <v>0</v>
      </c>
      <c r="N16" s="33"/>
      <c r="O16" s="33"/>
      <c r="P16" s="33"/>
      <c r="Q16" s="33"/>
      <c r="R16" s="33"/>
      <c r="S16" s="33"/>
      <c r="T16" s="33"/>
      <c r="U16" s="33"/>
      <c r="V16" s="33"/>
      <c r="AD16" s="33"/>
      <c r="AE16" s="33"/>
      <c r="AF16" s="33">
        <v>15</v>
      </c>
      <c r="AG16" s="33">
        <f t="shared" si="1"/>
        <v>46249</v>
      </c>
      <c r="AH16" s="33">
        <f ca="1">IF(OR(AF16&gt;$AD$4,AF16&gt;$AD$3),NA(),SUMIFS(AugTable[Jumlah (Rp)],AugTable[Tipe],"Pengeluaran",AugTable[Tanggal],"&lt;="&amp;AG16))</f>
        <v>0</v>
      </c>
      <c r="AI16" s="33">
        <f>IF(AF16&gt;$AD$4,NA(),Rekap!$B$19/$AD$4*AF16)</f>
        <v>114798.3870967742</v>
      </c>
      <c r="AJ16" s="33" t="str">
        <f>Master!$A$20</f>
        <v>Kategori Uji 16</v>
      </c>
      <c r="AK16" s="33">
        <f>SUMIFS(AugTable[Jumlah (Rp)],AugTable[Tipe],"Pengeluaran",AugTable[Kategori],AJ16)</f>
        <v>0</v>
      </c>
      <c r="AL16" s="33">
        <f>SUMIFS(JulyTable[Jumlah (Rp)],JulyTable[Tipe],"Pengeluaran",JulyTable[Kategori],AJ16)</f>
        <v>0</v>
      </c>
      <c r="AM16" s="33">
        <f t="shared" si="0"/>
        <v>1.5999999999999999E-5</v>
      </c>
      <c r="AN16" s="33"/>
      <c r="AO16" s="33"/>
    </row>
    <row r="17" spans="1:41" ht="24.75" customHeight="1" x14ac:dyDescent="0.25">
      <c r="A17" s="5"/>
      <c r="B17" s="3"/>
      <c r="C17" s="3"/>
      <c r="D17" s="3"/>
      <c r="E17" s="6"/>
      <c r="F17" s="4"/>
      <c r="K17" s="54" t="s">
        <v>78</v>
      </c>
      <c r="L17" s="53"/>
      <c r="M17" s="37">
        <f ca="1">M15+M16</f>
        <v>0</v>
      </c>
      <c r="N17" s="33"/>
      <c r="O17" s="33"/>
      <c r="P17" s="33"/>
      <c r="Q17" s="33"/>
      <c r="R17" s="43" t="s">
        <v>98</v>
      </c>
      <c r="S17" s="33"/>
      <c r="T17" s="33"/>
      <c r="U17" s="33"/>
      <c r="V17" s="33"/>
      <c r="AD17" s="33"/>
      <c r="AE17" s="33"/>
      <c r="AF17" s="33">
        <v>16</v>
      </c>
      <c r="AG17" s="33">
        <f t="shared" si="1"/>
        <v>46250</v>
      </c>
      <c r="AH17" s="33">
        <f ca="1">IF(OR(AF17&gt;$AD$4,AF17&gt;$AD$3),NA(),SUMIFS(AugTable[Jumlah (Rp)],AugTable[Tipe],"Pengeluaran",AugTable[Tanggal],"&lt;="&amp;AG17))</f>
        <v>0</v>
      </c>
      <c r="AI17" s="33">
        <f>IF(AF17&gt;$AD$4,NA(),Rekap!$B$19/$AD$4*AF17)</f>
        <v>122451.6129032258</v>
      </c>
      <c r="AJ17" s="33" t="str">
        <f>Master!$A$21</f>
        <v>Kategori Uji 17</v>
      </c>
      <c r="AK17" s="33">
        <f>SUMIFS(AugTable[Jumlah (Rp)],AugTable[Tipe],"Pengeluaran",AugTable[Kategori],AJ17)</f>
        <v>0</v>
      </c>
      <c r="AL17" s="33">
        <f>SUMIFS(JulyTable[Jumlah (Rp)],JulyTable[Tipe],"Pengeluaran",JulyTable[Kategori],AJ17)</f>
        <v>0</v>
      </c>
      <c r="AM17" s="33">
        <f t="shared" si="0"/>
        <v>1.7E-5</v>
      </c>
      <c r="AN17" s="33"/>
      <c r="AO17" s="33"/>
    </row>
    <row r="18" spans="1:41" ht="24.75" customHeight="1" x14ac:dyDescent="0.25">
      <c r="A18" s="5"/>
      <c r="B18" s="3"/>
      <c r="C18" s="3"/>
      <c r="D18" s="3"/>
      <c r="E18" s="6"/>
      <c r="F18" s="4"/>
      <c r="K18" s="54" t="s">
        <v>79</v>
      </c>
      <c r="L18" s="53"/>
      <c r="M18" s="37">
        <f ca="1">M29</f>
        <v>0</v>
      </c>
      <c r="N18" s="33"/>
      <c r="O18" s="33"/>
      <c r="P18" s="33"/>
      <c r="Q18" s="33"/>
      <c r="R18" s="34" t="s">
        <v>25</v>
      </c>
      <c r="S18" s="34" t="s">
        <v>101</v>
      </c>
      <c r="T18" s="34" t="s">
        <v>102</v>
      </c>
      <c r="U18" s="34" t="s">
        <v>5</v>
      </c>
      <c r="V18" s="34" t="s">
        <v>95</v>
      </c>
      <c r="AD18" s="33"/>
      <c r="AE18" s="33"/>
      <c r="AF18" s="33">
        <v>17</v>
      </c>
      <c r="AG18" s="33">
        <f t="shared" si="1"/>
        <v>46251</v>
      </c>
      <c r="AH18" s="33">
        <f ca="1">IF(OR(AF18&gt;$AD$4,AF18&gt;$AD$3),NA(),SUMIFS(AugTable[Jumlah (Rp)],AugTable[Tipe],"Pengeluaran",AugTable[Tanggal],"&lt;="&amp;AG18))</f>
        <v>0</v>
      </c>
      <c r="AI18" s="33">
        <f>IF(AF18&gt;$AD$4,NA(),Rekap!$B$19/$AD$4*AF18)</f>
        <v>130104.83870967741</v>
      </c>
      <c r="AJ18" s="33" t="str">
        <f>Master!$A$22</f>
        <v>Kategori Uji 18</v>
      </c>
      <c r="AK18" s="33">
        <f>SUMIFS(AugTable[Jumlah (Rp)],AugTable[Tipe],"Pengeluaran",AugTable[Kategori],AJ18)</f>
        <v>0</v>
      </c>
      <c r="AL18" s="33">
        <f>SUMIFS(JulyTable[Jumlah (Rp)],JulyTable[Tipe],"Pengeluaran",JulyTable[Kategori],AJ18)</f>
        <v>0</v>
      </c>
      <c r="AM18" s="33">
        <f t="shared" si="0"/>
        <v>1.8E-5</v>
      </c>
      <c r="AN18" s="33"/>
      <c r="AO18" s="33"/>
    </row>
    <row r="19" spans="1:41" ht="24.75" customHeight="1" x14ac:dyDescent="0.25">
      <c r="A19" s="5"/>
      <c r="B19" s="3"/>
      <c r="C19" s="3"/>
      <c r="D19" s="3"/>
      <c r="E19" s="6"/>
      <c r="F19" s="4"/>
      <c r="K19" s="52" t="s">
        <v>80</v>
      </c>
      <c r="L19" s="53"/>
      <c r="M19" s="42">
        <f ca="1">M17-M18</f>
        <v>0</v>
      </c>
      <c r="N19" s="33"/>
      <c r="O19" s="33"/>
      <c r="P19" s="33"/>
      <c r="Q19" s="33"/>
      <c r="R19" s="35" t="str">
        <f>IF($AO$1=0,"",INDEX($AJ$1:$AJ$23,$AO$1))</f>
        <v>Kategori Uji 24</v>
      </c>
      <c r="S19" s="37">
        <f>IF($AO$1=0,"",INDEX($AL$1:$AL$23,$AO$1))</f>
        <v>0</v>
      </c>
      <c r="T19" s="37">
        <f>IF($AO$1=0,"",INDEX($AK$1:$AK$23,$AO$1))</f>
        <v>0</v>
      </c>
      <c r="U19" s="37">
        <f>IF($R19="","",T19-S19)</f>
        <v>0</v>
      </c>
      <c r="V19" s="48" t="str">
        <f>IFERROR(U19/S19,"")</f>
        <v/>
      </c>
      <c r="AD19" s="33"/>
      <c r="AE19" s="33"/>
      <c r="AF19" s="33">
        <v>18</v>
      </c>
      <c r="AG19" s="33">
        <f t="shared" si="1"/>
        <v>46252</v>
      </c>
      <c r="AH19" s="33">
        <f ca="1">IF(OR(AF19&gt;$AD$4,AF19&gt;$AD$3),NA(),SUMIFS(AugTable[Jumlah (Rp)],AugTable[Tipe],"Pengeluaran",AugTable[Tanggal],"&lt;="&amp;AG19))</f>
        <v>0</v>
      </c>
      <c r="AI19" s="33">
        <f>IF(AF19&gt;$AD$4,NA(),Rekap!$B$19/$AD$4*AF19)</f>
        <v>137758.06451612903</v>
      </c>
      <c r="AJ19" s="33" t="str">
        <f>Master!$A$23</f>
        <v>Kategori Uji 19</v>
      </c>
      <c r="AK19" s="33">
        <f>SUMIFS(AugTable[Jumlah (Rp)],AugTable[Tipe],"Pengeluaran",AugTable[Kategori],AJ19)</f>
        <v>0</v>
      </c>
      <c r="AL19" s="33">
        <f>SUMIFS(JulyTable[Jumlah (Rp)],JulyTable[Tipe],"Pengeluaran",JulyTable[Kategori],AJ19)</f>
        <v>0</v>
      </c>
      <c r="AM19" s="33">
        <f t="shared" si="0"/>
        <v>1.9000000000000001E-5</v>
      </c>
      <c r="AN19" s="33"/>
      <c r="AO19" s="33"/>
    </row>
    <row r="20" spans="1:41" ht="24.75" customHeight="1" x14ac:dyDescent="0.25">
      <c r="A20" s="5"/>
      <c r="B20" s="3"/>
      <c r="C20" s="3"/>
      <c r="D20" s="3"/>
      <c r="E20" s="6"/>
      <c r="F20" s="4"/>
      <c r="K20" s="52" t="s">
        <v>81</v>
      </c>
      <c r="L20" s="53"/>
      <c r="M20" s="42">
        <f ca="1">D1+M17-M18</f>
        <v>0</v>
      </c>
      <c r="N20" s="33"/>
      <c r="O20" s="33"/>
      <c r="P20" s="33"/>
      <c r="Q20" s="33"/>
      <c r="R20" s="35" t="str">
        <f>IF($AO$2=0,"",INDEX($AJ$1:$AJ$23,$AO$2))</f>
        <v>Kategori Uji 23</v>
      </c>
      <c r="S20" s="37">
        <f>IF($AO$2=0,"",INDEX($AL$1:$AL$23,$AO$2))</f>
        <v>0</v>
      </c>
      <c r="T20" s="37">
        <f>IF($AO$2=0,"",INDEX($AK$1:$AK$23,$AO$2))</f>
        <v>0</v>
      </c>
      <c r="U20" s="37">
        <f>IF($R20="","",T20-S20)</f>
        <v>0</v>
      </c>
      <c r="V20" s="48" t="str">
        <f>IFERROR(U20/S20,"")</f>
        <v/>
      </c>
      <c r="AD20" s="33"/>
      <c r="AE20" s="33"/>
      <c r="AF20" s="33">
        <v>19</v>
      </c>
      <c r="AG20" s="33">
        <f t="shared" si="1"/>
        <v>46253</v>
      </c>
      <c r="AH20" s="33">
        <f ca="1">IF(OR(AF20&gt;$AD$4,AF20&gt;$AD$3),NA(),SUMIFS(AugTable[Jumlah (Rp)],AugTable[Tipe],"Pengeluaran",AugTable[Tanggal],"&lt;="&amp;AG20))</f>
        <v>0</v>
      </c>
      <c r="AI20" s="33">
        <f>IF(AF20&gt;$AD$4,NA(),Rekap!$B$19/$AD$4*AF20)</f>
        <v>145411.29032258064</v>
      </c>
      <c r="AJ20" s="33" t="str">
        <f>Master!$A$24</f>
        <v>Kategori Uji 20</v>
      </c>
      <c r="AK20" s="33">
        <f>SUMIFS(AugTable[Jumlah (Rp)],AugTable[Tipe],"Pengeluaran",AugTable[Kategori],AJ20)</f>
        <v>0</v>
      </c>
      <c r="AL20" s="33">
        <f>SUMIFS(JulyTable[Jumlah (Rp)],JulyTable[Tipe],"Pengeluaran",JulyTable[Kategori],AJ20)</f>
        <v>0</v>
      </c>
      <c r="AM20" s="33">
        <f t="shared" si="0"/>
        <v>2.0000000000000002E-5</v>
      </c>
      <c r="AN20" s="33"/>
      <c r="AO20" s="33"/>
    </row>
    <row r="21" spans="1:41" ht="24.75" customHeight="1" x14ac:dyDescent="0.25">
      <c r="A21" s="5"/>
      <c r="B21" s="3"/>
      <c r="C21" s="3"/>
      <c r="D21" s="3"/>
      <c r="E21" s="6"/>
      <c r="F21" s="4"/>
      <c r="K21" s="46" t="s">
        <v>82</v>
      </c>
      <c r="L21" s="33"/>
      <c r="M21" s="33"/>
      <c r="N21" s="33"/>
      <c r="O21" s="33"/>
      <c r="P21" s="33"/>
      <c r="Q21" s="33"/>
      <c r="R21" s="35" t="str">
        <f>IF($AO$3=0,"",INDEX($AJ$1:$AJ$23,$AO$3))</f>
        <v>Kategori Uji 21</v>
      </c>
      <c r="S21" s="37">
        <f>IF($AO$3=0,"",INDEX($AL$1:$AL$23,$AO$3))</f>
        <v>0</v>
      </c>
      <c r="T21" s="37">
        <f>IF($AO$3=0,"",INDEX($AK$1:$AK$23,$AO$3))</f>
        <v>0</v>
      </c>
      <c r="U21" s="37">
        <f>IF($R21="","",T21-S21)</f>
        <v>0</v>
      </c>
      <c r="V21" s="48" t="str">
        <f>IFERROR(U21/S21,"")</f>
        <v/>
      </c>
      <c r="AD21" s="33"/>
      <c r="AE21" s="33"/>
      <c r="AF21" s="33">
        <v>20</v>
      </c>
      <c r="AG21" s="33">
        <f t="shared" si="1"/>
        <v>46254</v>
      </c>
      <c r="AH21" s="33">
        <f ca="1">IF(OR(AF21&gt;$AD$4,AF21&gt;$AD$3),NA(),SUMIFS(AugTable[Jumlah (Rp)],AugTable[Tipe],"Pengeluaran",AugTable[Tanggal],"&lt;="&amp;AG21))</f>
        <v>0</v>
      </c>
      <c r="AI21" s="33">
        <f>IF(AF21&gt;$AD$4,NA(),Rekap!$B$19/$AD$4*AF21)</f>
        <v>153064.51612903224</v>
      </c>
      <c r="AJ21" s="33" t="str">
        <f>Master!$A$25</f>
        <v>Kategori Uji 21</v>
      </c>
      <c r="AK21" s="33">
        <f>SUMIFS(AugTable[Jumlah (Rp)],AugTable[Tipe],"Pengeluaran",AugTable[Kategori],AJ21)</f>
        <v>0</v>
      </c>
      <c r="AL21" s="33">
        <f>SUMIFS(JulyTable[Jumlah (Rp)],JulyTable[Tipe],"Pengeluaran",JulyTable[Kategori],AJ21)</f>
        <v>0</v>
      </c>
      <c r="AM21" s="33">
        <f t="shared" si="0"/>
        <v>2.0999999999999999E-5</v>
      </c>
      <c r="AN21" s="33"/>
      <c r="AO21" s="33"/>
    </row>
    <row r="22" spans="1:41" ht="24.75" customHeight="1" x14ac:dyDescent="0.25">
      <c r="A22" s="5"/>
      <c r="B22" s="3"/>
      <c r="C22" s="3"/>
      <c r="D22" s="3"/>
      <c r="E22" s="6"/>
      <c r="F22" s="4"/>
      <c r="K22" s="33"/>
      <c r="L22" s="33"/>
      <c r="M22" s="33"/>
      <c r="N22" s="33"/>
      <c r="O22" s="33"/>
      <c r="P22" s="33"/>
      <c r="Q22" s="33"/>
      <c r="R22" s="35" t="str">
        <f>IF($AO$4=0,"",INDEX($AJ$1:$AJ$23,$AO$4))</f>
        <v>Kategori Uji 20</v>
      </c>
      <c r="S22" s="37">
        <f>IF($AO$4=0,"",INDEX($AL$1:$AL$23,$AO$4))</f>
        <v>0</v>
      </c>
      <c r="T22" s="37">
        <f>IF($AO$4=0,"",INDEX($AK$1:$AK$23,$AO$4))</f>
        <v>0</v>
      </c>
      <c r="U22" s="37">
        <f>IF($R22="","",T22-S22)</f>
        <v>0</v>
      </c>
      <c r="V22" s="48" t="str">
        <f>IFERROR(U22/S22,"")</f>
        <v/>
      </c>
      <c r="AD22" s="33"/>
      <c r="AE22" s="33"/>
      <c r="AF22" s="33">
        <v>21</v>
      </c>
      <c r="AG22" s="33">
        <f t="shared" si="1"/>
        <v>46255</v>
      </c>
      <c r="AH22" s="33">
        <f ca="1">IF(OR(AF22&gt;$AD$4,AF22&gt;$AD$3),NA(),SUMIFS(AugTable[Jumlah (Rp)],AugTable[Tipe],"Pengeluaran",AugTable[Tanggal],"&lt;="&amp;AG22))</f>
        <v>0</v>
      </c>
      <c r="AI22" s="33">
        <f>IF(AF22&gt;$AD$4,NA(),Rekap!$B$19/$AD$4*AF22)</f>
        <v>160717.74193548388</v>
      </c>
      <c r="AJ22" s="33" t="str">
        <f>Master!$A$27</f>
        <v>Kategori Uji 23</v>
      </c>
      <c r="AK22" s="33">
        <f>SUMIFS(AugTable[Jumlah (Rp)],AugTable[Tipe],"Pengeluaran",AugTable[Kategori],AJ22)</f>
        <v>0</v>
      </c>
      <c r="AL22" s="33">
        <f>SUMIFS(JulyTable[Jumlah (Rp)],JulyTable[Tipe],"Pengeluaran",JulyTable[Kategori],AJ22)</f>
        <v>0</v>
      </c>
      <c r="AM22" s="33">
        <f t="shared" si="0"/>
        <v>2.1999999999999999E-5</v>
      </c>
      <c r="AN22" s="33"/>
      <c r="AO22" s="33"/>
    </row>
    <row r="23" spans="1:41" ht="24.75" customHeight="1" x14ac:dyDescent="0.25">
      <c r="A23" s="5"/>
      <c r="B23" s="3"/>
      <c r="C23" s="3"/>
      <c r="D23" s="3"/>
      <c r="E23" s="6"/>
      <c r="F23" s="4"/>
      <c r="K23" s="32" t="s">
        <v>83</v>
      </c>
      <c r="L23" s="33"/>
      <c r="M23" s="33"/>
      <c r="N23" s="33"/>
      <c r="O23" s="33"/>
      <c r="P23" s="33"/>
      <c r="Q23" s="33"/>
      <c r="R23" s="35" t="str">
        <f>IF($AO$5=0,"",INDEX($AJ$1:$AJ$23,$AO$5))</f>
        <v>Kategori Uji 19</v>
      </c>
      <c r="S23" s="37">
        <f>IF($AO$5=0,"",INDEX($AL$1:$AL$23,$AO$5))</f>
        <v>0</v>
      </c>
      <c r="T23" s="37">
        <f>IF($AO$5=0,"",INDEX($AK$1:$AK$23,$AO$5))</f>
        <v>0</v>
      </c>
      <c r="U23" s="37">
        <f>IF($R23="","",T23-S23)</f>
        <v>0</v>
      </c>
      <c r="V23" s="48" t="str">
        <f>IFERROR(U23/S23,"")</f>
        <v/>
      </c>
      <c r="AD23" s="33"/>
      <c r="AE23" s="33"/>
      <c r="AF23" s="33">
        <v>22</v>
      </c>
      <c r="AG23" s="33">
        <f t="shared" si="1"/>
        <v>46256</v>
      </c>
      <c r="AH23" s="33">
        <f ca="1">IF(OR(AF23&gt;$AD$4,AF23&gt;$AD$3),NA(),SUMIFS(AugTable[Jumlah (Rp)],AugTable[Tipe],"Pengeluaran",AugTable[Tanggal],"&lt;="&amp;AG23))</f>
        <v>0</v>
      </c>
      <c r="AI23" s="33">
        <f>IF(AF23&gt;$AD$4,NA(),Rekap!$B$19/$AD$4*AF23)</f>
        <v>168370.96774193548</v>
      </c>
      <c r="AJ23" s="33" t="str">
        <f>Master!$A$28</f>
        <v>Kategori Uji 24</v>
      </c>
      <c r="AK23" s="33">
        <f>SUMIFS(AugTable[Jumlah (Rp)],AugTable[Tipe],"Pengeluaran",AugTable[Kategori],AJ23)</f>
        <v>0</v>
      </c>
      <c r="AL23" s="33">
        <f>SUMIFS(JulyTable[Jumlah (Rp)],JulyTable[Tipe],"Pengeluaran",JulyTable[Kategori],AJ23)</f>
        <v>0</v>
      </c>
      <c r="AM23" s="33">
        <f t="shared" si="0"/>
        <v>2.3E-5</v>
      </c>
      <c r="AN23" s="33"/>
      <c r="AO23" s="33"/>
    </row>
    <row r="24" spans="1:41" ht="24.75" customHeight="1" x14ac:dyDescent="0.25">
      <c r="A24" s="5"/>
      <c r="B24" s="3"/>
      <c r="C24" s="3"/>
      <c r="D24" s="3"/>
      <c r="E24" s="6"/>
      <c r="F24" s="4"/>
      <c r="K24" s="56" t="s">
        <v>84</v>
      </c>
      <c r="L24" s="53"/>
      <c r="M24" s="34" t="s">
        <v>70</v>
      </c>
      <c r="N24" s="33"/>
      <c r="O24" s="33"/>
      <c r="P24" s="33"/>
      <c r="Q24" s="33"/>
      <c r="R24" s="33"/>
      <c r="S24" s="33"/>
      <c r="T24" s="33"/>
      <c r="U24" s="33"/>
      <c r="V24" s="33"/>
      <c r="AD24" s="33"/>
      <c r="AE24" s="33"/>
      <c r="AF24" s="33">
        <v>23</v>
      </c>
      <c r="AG24" s="33">
        <f t="shared" si="1"/>
        <v>46257</v>
      </c>
      <c r="AH24" s="33">
        <f ca="1">IF(OR(AF24&gt;$AD$4,AF24&gt;$AD$3),NA(),SUMIFS(AugTable[Jumlah (Rp)],AugTable[Tipe],"Pengeluaran",AugTable[Tanggal],"&lt;="&amp;AG24))</f>
        <v>0</v>
      </c>
      <c r="AI24" s="33">
        <f>IF(AF24&gt;$AD$4,NA(),Rekap!$B$19/$AD$4*AF24)</f>
        <v>176024.19354838709</v>
      </c>
      <c r="AJ24" s="33"/>
      <c r="AK24" s="33"/>
      <c r="AL24" s="33"/>
      <c r="AM24" s="33"/>
      <c r="AN24" s="33"/>
      <c r="AO24" s="33"/>
    </row>
    <row r="25" spans="1:41" ht="24.75" customHeight="1" x14ac:dyDescent="0.25">
      <c r="A25" s="5"/>
      <c r="B25" s="3"/>
      <c r="C25" s="3"/>
      <c r="D25" s="3"/>
      <c r="E25" s="6"/>
      <c r="F25" s="4"/>
      <c r="K25" s="54" t="s">
        <v>85</v>
      </c>
      <c r="L25" s="53"/>
      <c r="M25" s="47">
        <f ca="1">AD3</f>
        <v>31</v>
      </c>
      <c r="N25" s="33"/>
      <c r="O25" s="33"/>
      <c r="P25" s="33"/>
      <c r="Q25" s="33"/>
      <c r="R25" s="32" t="s">
        <v>86</v>
      </c>
      <c r="S25" s="33"/>
      <c r="T25" s="33"/>
      <c r="U25" s="33"/>
      <c r="V25" s="33"/>
      <c r="AD25" s="33"/>
      <c r="AE25" s="33"/>
      <c r="AF25" s="33">
        <v>24</v>
      </c>
      <c r="AG25" s="33">
        <f t="shared" si="1"/>
        <v>46258</v>
      </c>
      <c r="AH25" s="33">
        <f ca="1">IF(OR(AF25&gt;$AD$4,AF25&gt;$AD$3),NA(),SUMIFS(AugTable[Jumlah (Rp)],AugTable[Tipe],"Pengeluaran",AugTable[Tanggal],"&lt;="&amp;AG25))</f>
        <v>0</v>
      </c>
      <c r="AI25" s="33">
        <f>IF(AF25&gt;$AD$4,NA(),Rekap!$B$19/$AD$4*AF25)</f>
        <v>183677.4193548387</v>
      </c>
      <c r="AJ25" s="33"/>
      <c r="AK25" s="33"/>
      <c r="AL25" s="33"/>
      <c r="AM25" s="33"/>
      <c r="AN25" s="33"/>
      <c r="AO25" s="33"/>
    </row>
    <row r="26" spans="1:41" ht="24.75" customHeight="1" x14ac:dyDescent="0.25">
      <c r="A26" s="5"/>
      <c r="B26" s="3"/>
      <c r="C26" s="3"/>
      <c r="D26" s="3"/>
      <c r="E26" s="6"/>
      <c r="F26" s="4"/>
      <c r="K26" s="54" t="s">
        <v>87</v>
      </c>
      <c r="L26" s="53"/>
      <c r="M26" s="47">
        <f>AD4</f>
        <v>31</v>
      </c>
      <c r="N26" s="33"/>
      <c r="O26" s="33"/>
      <c r="P26" s="33"/>
      <c r="Q26" s="33"/>
      <c r="R26" s="33"/>
      <c r="S26" s="33"/>
      <c r="T26" s="33"/>
      <c r="U26" s="33"/>
      <c r="V26" s="33"/>
      <c r="AD26" s="33"/>
      <c r="AE26" s="33"/>
      <c r="AF26" s="33">
        <v>25</v>
      </c>
      <c r="AG26" s="33">
        <f t="shared" si="1"/>
        <v>46259</v>
      </c>
      <c r="AH26" s="33">
        <f ca="1">IF(OR(AF26&gt;$AD$4,AF26&gt;$AD$3),NA(),SUMIFS(AugTable[Jumlah (Rp)],AugTable[Tipe],"Pengeluaran",AugTable[Tanggal],"&lt;="&amp;AG26))</f>
        <v>0</v>
      </c>
      <c r="AI26" s="33">
        <f>IF(AF26&gt;$AD$4,NA(),Rekap!$B$19/$AD$4*AF26)</f>
        <v>191330.6451612903</v>
      </c>
      <c r="AJ26" s="33"/>
      <c r="AK26" s="33"/>
      <c r="AL26" s="33"/>
      <c r="AM26" s="33"/>
      <c r="AN26" s="33"/>
      <c r="AO26" s="33"/>
    </row>
    <row r="27" spans="1:41" ht="24.75" customHeight="1" x14ac:dyDescent="0.25">
      <c r="A27" s="5"/>
      <c r="B27" s="3"/>
      <c r="C27" s="3"/>
      <c r="D27" s="3"/>
      <c r="E27" s="6"/>
      <c r="F27" s="4"/>
      <c r="K27" s="54" t="s">
        <v>88</v>
      </c>
      <c r="L27" s="53"/>
      <c r="M27" s="37">
        <f>D3</f>
        <v>0</v>
      </c>
      <c r="N27" s="33"/>
      <c r="O27" s="33"/>
      <c r="P27" s="33"/>
      <c r="Q27" s="33"/>
      <c r="R27" s="33"/>
      <c r="S27" s="33"/>
      <c r="T27" s="33"/>
      <c r="U27" s="33"/>
      <c r="V27" s="33"/>
      <c r="AD27" s="33"/>
      <c r="AE27" s="33"/>
      <c r="AF27" s="33">
        <v>26</v>
      </c>
      <c r="AG27" s="33">
        <f t="shared" si="1"/>
        <v>46260</v>
      </c>
      <c r="AH27" s="33">
        <f ca="1">IF(OR(AF27&gt;$AD$4,AF27&gt;$AD$3),NA(),SUMIFS(AugTable[Jumlah (Rp)],AugTable[Tipe],"Pengeluaran",AugTable[Tanggal],"&lt;="&amp;AG27))</f>
        <v>0</v>
      </c>
      <c r="AI27" s="33">
        <f>IF(AF27&gt;$AD$4,NA(),Rekap!$B$19/$AD$4*AF27)</f>
        <v>198983.87096774194</v>
      </c>
      <c r="AJ27" s="33"/>
      <c r="AK27" s="33"/>
      <c r="AL27" s="33"/>
      <c r="AM27" s="33"/>
      <c r="AN27" s="33"/>
      <c r="AO27" s="33"/>
    </row>
    <row r="28" spans="1:41" ht="24.75" customHeight="1" x14ac:dyDescent="0.25">
      <c r="A28" s="5"/>
      <c r="B28" s="3"/>
      <c r="C28" s="3"/>
      <c r="D28" s="3"/>
      <c r="E28" s="6"/>
      <c r="F28" s="4"/>
      <c r="K28" s="54" t="s">
        <v>89</v>
      </c>
      <c r="L28" s="53"/>
      <c r="M28" s="37">
        <f ca="1">IFERROR(M27/M25,0)</f>
        <v>0</v>
      </c>
      <c r="N28" s="33"/>
      <c r="O28" s="33"/>
      <c r="P28" s="33"/>
      <c r="Q28" s="33"/>
      <c r="R28" s="33"/>
      <c r="S28" s="33"/>
      <c r="T28" s="33"/>
      <c r="U28" s="33"/>
      <c r="V28" s="33"/>
      <c r="AD28" s="33"/>
      <c r="AE28" s="33"/>
      <c r="AF28" s="33">
        <v>27</v>
      </c>
      <c r="AG28" s="33">
        <f t="shared" si="1"/>
        <v>46261</v>
      </c>
      <c r="AH28" s="33">
        <f ca="1">IF(OR(AF28&gt;$AD$4,AF28&gt;$AD$3),NA(),SUMIFS(AugTable[Jumlah (Rp)],AugTable[Tipe],"Pengeluaran",AugTable[Tanggal],"&lt;="&amp;AG28))</f>
        <v>0</v>
      </c>
      <c r="AI28" s="33">
        <f>IF(AF28&gt;$AD$4,NA(),Rekap!$B$19/$AD$4*AF28)</f>
        <v>206637.09677419355</v>
      </c>
      <c r="AJ28" s="33"/>
      <c r="AK28" s="33"/>
      <c r="AL28" s="33"/>
      <c r="AM28" s="33"/>
      <c r="AN28" s="33"/>
      <c r="AO28" s="33"/>
    </row>
    <row r="29" spans="1:41" ht="24.75" customHeight="1" x14ac:dyDescent="0.25">
      <c r="A29" s="5"/>
      <c r="B29" s="3"/>
      <c r="C29" s="3"/>
      <c r="D29" s="3"/>
      <c r="E29" s="6"/>
      <c r="F29" s="4"/>
      <c r="K29" s="52" t="s">
        <v>90</v>
      </c>
      <c r="L29" s="53"/>
      <c r="M29" s="42">
        <f ca="1">M28*M26</f>
        <v>0</v>
      </c>
      <c r="N29" s="33"/>
      <c r="O29" s="33"/>
      <c r="P29" s="33"/>
      <c r="Q29" s="33"/>
      <c r="R29" s="33"/>
      <c r="S29" s="33"/>
      <c r="T29" s="33"/>
      <c r="U29" s="33"/>
      <c r="V29" s="33"/>
      <c r="AD29" s="33"/>
      <c r="AE29" s="33"/>
      <c r="AF29" s="33">
        <v>28</v>
      </c>
      <c r="AG29" s="33">
        <f t="shared" si="1"/>
        <v>46262</v>
      </c>
      <c r="AH29" s="33">
        <f ca="1">IF(OR(AF29&gt;$AD$4,AF29&gt;$AD$3),NA(),SUMIFS(AugTable[Jumlah (Rp)],AugTable[Tipe],"Pengeluaran",AugTable[Tanggal],"&lt;="&amp;AG29))</f>
        <v>0</v>
      </c>
      <c r="AI29" s="33">
        <f>IF(AF29&gt;$AD$4,NA(),Rekap!$B$19/$AD$4*AF29)</f>
        <v>214290.32258064515</v>
      </c>
      <c r="AJ29" s="33"/>
      <c r="AK29" s="33"/>
      <c r="AL29" s="33"/>
      <c r="AM29" s="33"/>
      <c r="AN29" s="33"/>
      <c r="AO29" s="33"/>
    </row>
    <row r="30" spans="1:41" ht="24.75" customHeight="1" x14ac:dyDescent="0.25">
      <c r="A30" s="5"/>
      <c r="B30" s="3"/>
      <c r="C30" s="3"/>
      <c r="D30" s="3"/>
      <c r="E30" s="6"/>
      <c r="F30" s="4"/>
      <c r="K30" s="54" t="s">
        <v>91</v>
      </c>
      <c r="L30" s="53"/>
      <c r="M30" s="37">
        <f>Rekap!$B$19</f>
        <v>237250</v>
      </c>
      <c r="N30" s="33"/>
      <c r="O30" s="33"/>
      <c r="P30" s="33"/>
      <c r="Q30" s="33"/>
      <c r="R30" s="33"/>
      <c r="S30" s="33"/>
      <c r="T30" s="33"/>
      <c r="U30" s="33"/>
      <c r="V30" s="33"/>
      <c r="AD30" s="33"/>
      <c r="AE30" s="33"/>
      <c r="AF30" s="33">
        <v>29</v>
      </c>
      <c r="AG30" s="33">
        <f t="shared" si="1"/>
        <v>46263</v>
      </c>
      <c r="AH30" s="33">
        <f ca="1">IF(OR(AF30&gt;$AD$4,AF30&gt;$AD$3),NA(),SUMIFS(AugTable[Jumlah (Rp)],AugTable[Tipe],"Pengeluaran",AugTable[Tanggal],"&lt;="&amp;AG30))</f>
        <v>0</v>
      </c>
      <c r="AI30" s="33">
        <f>IF(AF30&gt;$AD$4,NA(),Rekap!$B$19/$AD$4*AF30)</f>
        <v>221943.54838709676</v>
      </c>
      <c r="AJ30" s="33"/>
      <c r="AK30" s="33"/>
      <c r="AL30" s="33"/>
      <c r="AM30" s="33"/>
      <c r="AN30" s="33"/>
      <c r="AO30" s="33"/>
    </row>
    <row r="31" spans="1:41" ht="24.75" customHeight="1" x14ac:dyDescent="0.25">
      <c r="A31" s="5"/>
      <c r="B31" s="3"/>
      <c r="C31" s="3"/>
      <c r="D31" s="3"/>
      <c r="E31" s="6"/>
      <c r="F31" s="4"/>
      <c r="K31" s="54" t="s">
        <v>93</v>
      </c>
      <c r="L31" s="53"/>
      <c r="M31" s="37">
        <f>SUM(Master!$C$5:$C$81)</f>
        <v>30000000</v>
      </c>
      <c r="N31" s="33"/>
      <c r="O31" s="33"/>
      <c r="P31" s="33"/>
      <c r="Q31" s="33"/>
      <c r="R31" s="33"/>
      <c r="S31" s="33"/>
      <c r="T31" s="33"/>
      <c r="U31" s="33"/>
      <c r="V31" s="33"/>
      <c r="AD31" s="33"/>
      <c r="AE31" s="33"/>
      <c r="AF31" s="33">
        <v>30</v>
      </c>
      <c r="AG31" s="33">
        <f t="shared" si="1"/>
        <v>46264</v>
      </c>
      <c r="AH31" s="33">
        <f ca="1">IF(OR(AF31&gt;$AD$4,AF31&gt;$AD$3),NA(),SUMIFS(AugTable[Jumlah (Rp)],AugTable[Tipe],"Pengeluaran",AugTable[Tanggal],"&lt;="&amp;AG31))</f>
        <v>0</v>
      </c>
      <c r="AI31" s="33">
        <f>IF(AF31&gt;$AD$4,NA(),Rekap!$B$19/$AD$4*AF31)</f>
        <v>229596.77419354839</v>
      </c>
      <c r="AJ31" s="33"/>
      <c r="AK31" s="33"/>
      <c r="AL31" s="33"/>
      <c r="AM31" s="33"/>
      <c r="AN31" s="33"/>
      <c r="AO31" s="33"/>
    </row>
    <row r="32" spans="1:41" ht="24.75" customHeight="1" x14ac:dyDescent="0.25">
      <c r="A32" s="5"/>
      <c r="B32" s="3"/>
      <c r="C32" s="3"/>
      <c r="D32" s="3"/>
      <c r="E32" s="6"/>
      <c r="F32" s="4"/>
      <c r="K32" s="52" t="s">
        <v>58</v>
      </c>
      <c r="L32" s="53"/>
      <c r="M32" s="40" t="str">
        <f ca="1">IF(M25=0,"belum mulai",IF(M29&gt;M30,"di atas kebiasaan","di bawah kebiasaan"))</f>
        <v>di bawah kebiasaan</v>
      </c>
      <c r="N32" s="33"/>
      <c r="O32" s="33"/>
      <c r="P32" s="33"/>
      <c r="Q32" s="33"/>
      <c r="R32" s="33"/>
      <c r="S32" s="33"/>
      <c r="T32" s="33"/>
      <c r="U32" s="33"/>
      <c r="V32" s="33"/>
      <c r="AD32" s="33"/>
      <c r="AE32" s="33"/>
      <c r="AF32" s="33">
        <v>31</v>
      </c>
      <c r="AG32" s="33">
        <f t="shared" si="1"/>
        <v>46265</v>
      </c>
      <c r="AH32" s="33">
        <f ca="1">IF(OR(AF32&gt;$AD$4,AF32&gt;$AD$3),NA(),SUMIFS(AugTable[Jumlah (Rp)],AugTable[Tipe],"Pengeluaran",AugTable[Tanggal],"&lt;="&amp;AG32))</f>
        <v>0</v>
      </c>
      <c r="AI32" s="33">
        <f>IF(AF32&gt;$AD$4,NA(),Rekap!$B$19/$AD$4*AF32)</f>
        <v>237250</v>
      </c>
      <c r="AJ32" s="33"/>
      <c r="AK32" s="33"/>
      <c r="AL32" s="33"/>
      <c r="AM32" s="33"/>
      <c r="AN32" s="33"/>
      <c r="AO32" s="33"/>
    </row>
    <row r="33" spans="1:41" ht="24.75" customHeight="1" x14ac:dyDescent="0.25">
      <c r="A33" s="5"/>
      <c r="B33" s="3"/>
      <c r="C33" s="3"/>
      <c r="D33" s="3"/>
      <c r="E33" s="6"/>
      <c r="F33" s="4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</row>
    <row r="34" spans="1:41" ht="24.75" customHeight="1" x14ac:dyDescent="0.25">
      <c r="A34" s="5"/>
      <c r="B34" s="3"/>
      <c r="C34" s="3"/>
      <c r="D34" s="3"/>
      <c r="E34" s="6"/>
      <c r="F34" s="4"/>
      <c r="K34" s="32" t="s">
        <v>94</v>
      </c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</row>
    <row r="35" spans="1:41" ht="24.75" customHeight="1" x14ac:dyDescent="0.25">
      <c r="A35" s="5"/>
      <c r="B35" s="3"/>
      <c r="C35" s="3"/>
      <c r="D35" s="3"/>
      <c r="E35" s="6"/>
      <c r="F35" s="4"/>
      <c r="K35" s="34" t="s">
        <v>43</v>
      </c>
      <c r="L35" s="34" t="s">
        <v>37</v>
      </c>
      <c r="M35" s="34" t="s">
        <v>44</v>
      </c>
      <c r="N35" s="33"/>
      <c r="O35" s="33"/>
      <c r="P35" s="33"/>
      <c r="Q35" s="33"/>
      <c r="R35" s="33"/>
      <c r="S35" s="33"/>
      <c r="T35" s="33"/>
      <c r="U35" s="33"/>
      <c r="V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</row>
    <row r="36" spans="1:41" ht="24.75" customHeight="1" x14ac:dyDescent="0.25">
      <c r="A36" s="5"/>
      <c r="B36" s="3"/>
      <c r="C36" s="3"/>
      <c r="D36" s="3"/>
      <c r="E36" s="6"/>
      <c r="F36" s="4"/>
      <c r="K36" s="35" t="str">
        <f>Master!$G$5</f>
        <v>Tunai Uji</v>
      </c>
      <c r="L36" s="37">
        <f>SUMIFS(AugTable[Jumlah (Rp)],AugTable[Tipe],"Pengeluaran",AugTable[Pembayaran],K36)</f>
        <v>0</v>
      </c>
      <c r="M36" s="48">
        <f t="shared" ref="M36:M44" si="2">IFERROR(L36/$D$3,0)</f>
        <v>0</v>
      </c>
      <c r="N36" s="33"/>
      <c r="O36" s="33"/>
      <c r="P36" s="33"/>
      <c r="Q36" s="33"/>
      <c r="R36" s="33"/>
      <c r="S36" s="33"/>
      <c r="T36" s="33"/>
      <c r="U36" s="33"/>
      <c r="V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</row>
    <row r="37" spans="1:41" ht="24.75" customHeight="1" x14ac:dyDescent="0.25">
      <c r="A37" s="5"/>
      <c r="B37" s="3"/>
      <c r="C37" s="3"/>
      <c r="D37" s="3"/>
      <c r="E37" s="6"/>
      <c r="F37" s="4"/>
      <c r="K37" s="35" t="str">
        <f>Master!$G$6</f>
        <v>Bank Uji</v>
      </c>
      <c r="L37" s="37">
        <f>SUMIFS(AugTable[Jumlah (Rp)],AugTable[Tipe],"Pengeluaran",AugTable[Pembayaran],K37)</f>
        <v>0</v>
      </c>
      <c r="M37" s="48">
        <f t="shared" si="2"/>
        <v>0</v>
      </c>
      <c r="N37" s="33"/>
      <c r="O37" s="33"/>
      <c r="P37" s="33"/>
      <c r="Q37" s="33"/>
      <c r="R37" s="33"/>
      <c r="S37" s="33"/>
      <c r="T37" s="33"/>
      <c r="U37" s="33"/>
      <c r="V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</row>
    <row r="38" spans="1:41" ht="24.75" customHeight="1" x14ac:dyDescent="0.25">
      <c r="A38" s="5"/>
      <c r="B38" s="3"/>
      <c r="C38" s="3"/>
      <c r="D38" s="3"/>
      <c r="E38" s="6"/>
      <c r="F38" s="4"/>
      <c r="K38" s="35" t="str">
        <f>Master!$G$7</f>
        <v>Dompet Uji</v>
      </c>
      <c r="L38" s="37">
        <f>SUMIFS(AugTable[Jumlah (Rp)],AugTable[Tipe],"Pengeluaran",AugTable[Pembayaran],K38)</f>
        <v>0</v>
      </c>
      <c r="M38" s="48">
        <f t="shared" si="2"/>
        <v>0</v>
      </c>
      <c r="N38" s="33"/>
      <c r="O38" s="33"/>
      <c r="P38" s="33"/>
      <c r="Q38" s="33"/>
      <c r="R38" s="33"/>
      <c r="S38" s="33"/>
      <c r="T38" s="33"/>
      <c r="U38" s="33"/>
      <c r="V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</row>
    <row r="39" spans="1:41" ht="24.75" customHeight="1" x14ac:dyDescent="0.25">
      <c r="A39" s="5"/>
      <c r="B39" s="3"/>
      <c r="C39" s="3"/>
      <c r="D39" s="3"/>
      <c r="E39" s="6"/>
      <c r="F39" s="4"/>
      <c r="K39" s="35" t="str">
        <f>Master!$G$8</f>
        <v>Kartu Uji</v>
      </c>
      <c r="L39" s="37">
        <f>SUMIFS(AugTable[Jumlah (Rp)],AugTable[Tipe],"Pengeluaran",AugTable[Pembayaran],K39)</f>
        <v>0</v>
      </c>
      <c r="M39" s="48">
        <f t="shared" si="2"/>
        <v>0</v>
      </c>
      <c r="N39" s="33"/>
      <c r="O39" s="33"/>
      <c r="P39" s="33"/>
      <c r="Q39" s="33"/>
      <c r="R39" s="33"/>
      <c r="S39" s="33"/>
      <c r="T39" s="33"/>
      <c r="U39" s="33"/>
      <c r="V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</row>
    <row r="40" spans="1:41" ht="24.75" customHeight="1" x14ac:dyDescent="0.25">
      <c r="A40" s="5"/>
      <c r="B40" s="3"/>
      <c r="C40" s="3"/>
      <c r="D40" s="3"/>
      <c r="E40" s="6"/>
      <c r="F40" s="4"/>
      <c r="K40" s="35" t="str">
        <f>Master!$G$9</f>
        <v>Transfer Uji</v>
      </c>
      <c r="L40" s="37">
        <f>SUMIFS(AugTable[Jumlah (Rp)],AugTable[Tipe],"Pengeluaran",AugTable[Pembayaran],K40)</f>
        <v>0</v>
      </c>
      <c r="M40" s="48">
        <f t="shared" si="2"/>
        <v>0</v>
      </c>
      <c r="N40" s="33"/>
      <c r="O40" s="33"/>
      <c r="P40" s="33"/>
      <c r="Q40" s="33"/>
      <c r="R40" s="33"/>
      <c r="S40" s="33"/>
      <c r="T40" s="33"/>
      <c r="U40" s="33"/>
      <c r="V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</row>
    <row r="41" spans="1:41" ht="24.75" customHeight="1" x14ac:dyDescent="0.25">
      <c r="A41" s="5"/>
      <c r="B41" s="3"/>
      <c r="C41" s="3"/>
      <c r="D41" s="3"/>
      <c r="E41" s="6"/>
      <c r="F41" s="4"/>
      <c r="K41" s="35" t="str">
        <f>Master!$G$10</f>
        <v>Voucher Uji</v>
      </c>
      <c r="L41" s="37">
        <f>SUMIFS(AugTable[Jumlah (Rp)],AugTable[Tipe],"Pengeluaran",AugTable[Pembayaran],K41)</f>
        <v>0</v>
      </c>
      <c r="M41" s="48">
        <f t="shared" si="2"/>
        <v>0</v>
      </c>
      <c r="N41" s="33"/>
      <c r="O41" s="33"/>
      <c r="P41" s="33"/>
      <c r="Q41" s="33"/>
      <c r="R41" s="33"/>
      <c r="S41" s="33"/>
      <c r="T41" s="33"/>
      <c r="U41" s="33"/>
      <c r="V41" s="33"/>
    </row>
    <row r="42" spans="1:41" ht="24.75" customHeight="1" x14ac:dyDescent="0.25">
      <c r="A42" s="5"/>
      <c r="B42" s="3"/>
      <c r="C42" s="3"/>
      <c r="D42" s="3"/>
      <c r="E42" s="6"/>
      <c r="F42" s="4"/>
      <c r="K42" s="35" t="str">
        <f>Master!$G$11</f>
        <v>Cicilan Uji</v>
      </c>
      <c r="L42" s="37">
        <f>SUMIFS(AugTable[Jumlah (Rp)],AugTable[Tipe],"Pengeluaran",AugTable[Pembayaran],K42)</f>
        <v>0</v>
      </c>
      <c r="M42" s="48">
        <f t="shared" si="2"/>
        <v>0</v>
      </c>
      <c r="N42" s="33"/>
      <c r="O42" s="33"/>
      <c r="P42" s="33"/>
      <c r="Q42" s="33"/>
      <c r="R42" s="33"/>
      <c r="S42" s="33"/>
      <c r="T42" s="33"/>
      <c r="U42" s="33"/>
      <c r="V42" s="33"/>
    </row>
    <row r="43" spans="1:41" ht="24.75" customHeight="1" x14ac:dyDescent="0.25">
      <c r="A43" s="5"/>
      <c r="B43" s="3"/>
      <c r="C43" s="3"/>
      <c r="D43" s="3"/>
      <c r="E43" s="6"/>
      <c r="F43" s="4"/>
      <c r="K43" s="35" t="str">
        <f>Master!$G$12</f>
        <v>Lainnya Uji</v>
      </c>
      <c r="L43" s="37">
        <f>SUMIFS(AugTable[Jumlah (Rp)],AugTable[Tipe],"Pengeluaran",AugTable[Pembayaran],K43)</f>
        <v>0</v>
      </c>
      <c r="M43" s="48">
        <f t="shared" si="2"/>
        <v>0</v>
      </c>
      <c r="N43" s="33"/>
      <c r="O43" s="33"/>
      <c r="P43" s="33"/>
      <c r="Q43" s="33"/>
      <c r="R43" s="33"/>
      <c r="S43" s="33"/>
      <c r="T43" s="33"/>
      <c r="U43" s="33"/>
      <c r="V43" s="33"/>
    </row>
    <row r="44" spans="1:41" ht="24.75" customHeight="1" x14ac:dyDescent="0.25">
      <c r="A44" s="5"/>
      <c r="B44" s="3"/>
      <c r="C44" s="3"/>
      <c r="D44" s="3"/>
      <c r="E44" s="6"/>
      <c r="F44" s="4"/>
      <c r="K44" s="40" t="s">
        <v>21</v>
      </c>
      <c r="L44" s="42">
        <f>SUM(L36:L43)</f>
        <v>0</v>
      </c>
      <c r="M44" s="44">
        <f t="shared" si="2"/>
        <v>0</v>
      </c>
      <c r="N44" s="33"/>
      <c r="O44" s="33"/>
      <c r="P44" s="33"/>
      <c r="Q44" s="33"/>
      <c r="R44" s="33"/>
      <c r="S44" s="33"/>
      <c r="T44" s="33"/>
      <c r="U44" s="33"/>
      <c r="V44" s="33"/>
    </row>
    <row r="45" spans="1:41" ht="24.75" customHeight="1" x14ac:dyDescent="0.25">
      <c r="A45" s="5"/>
      <c r="B45" s="3"/>
      <c r="C45" s="3"/>
      <c r="D45" s="3"/>
      <c r="E45" s="6"/>
      <c r="F45" s="4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</row>
    <row r="46" spans="1:41" ht="24.75" customHeight="1" x14ac:dyDescent="0.25">
      <c r="A46" s="5"/>
      <c r="B46" s="3"/>
      <c r="C46" s="3"/>
      <c r="D46" s="3"/>
      <c r="E46" s="6"/>
      <c r="F46" s="4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</row>
    <row r="47" spans="1:41" ht="24.75" customHeight="1" x14ac:dyDescent="0.25">
      <c r="A47" s="5"/>
      <c r="B47" s="3"/>
      <c r="C47" s="3"/>
      <c r="D47" s="3"/>
      <c r="E47" s="6"/>
      <c r="F47" s="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</row>
    <row r="48" spans="1:41" ht="24.75" customHeight="1" x14ac:dyDescent="0.25">
      <c r="A48" s="5"/>
      <c r="B48" s="3"/>
      <c r="C48" s="3"/>
      <c r="D48" s="3"/>
      <c r="E48" s="6"/>
      <c r="F48" s="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</row>
    <row r="49" spans="1:22" ht="24.75" customHeight="1" x14ac:dyDescent="0.25">
      <c r="A49" s="5"/>
      <c r="B49" s="3"/>
      <c r="C49" s="3"/>
      <c r="D49" s="3"/>
      <c r="E49" s="6"/>
      <c r="F49" s="4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ht="24.75" customHeight="1" x14ac:dyDescent="0.25">
      <c r="A50" s="5"/>
      <c r="B50" s="3"/>
      <c r="C50" s="3"/>
      <c r="D50" s="3"/>
      <c r="E50" s="6"/>
      <c r="F50" s="4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</row>
    <row r="51" spans="1:22" ht="24.75" customHeight="1" x14ac:dyDescent="0.25">
      <c r="A51" s="5"/>
      <c r="B51" s="3"/>
      <c r="C51" s="3"/>
      <c r="D51" s="3"/>
      <c r="E51" s="6"/>
      <c r="F51" s="4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</row>
    <row r="52" spans="1:22" ht="24.75" customHeight="1" x14ac:dyDescent="0.25">
      <c r="A52" s="5"/>
      <c r="B52" s="3"/>
      <c r="C52" s="3"/>
      <c r="D52" s="3"/>
      <c r="E52" s="6"/>
      <c r="F52" s="4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</row>
    <row r="53" spans="1:22" ht="24.75" customHeight="1" x14ac:dyDescent="0.25">
      <c r="A53" s="5"/>
      <c r="B53" s="3"/>
      <c r="C53" s="3"/>
      <c r="D53" s="3"/>
      <c r="E53" s="6"/>
      <c r="F53" s="4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</row>
    <row r="54" spans="1:22" ht="24.75" customHeight="1" x14ac:dyDescent="0.25">
      <c r="A54" s="5"/>
      <c r="B54" s="3"/>
      <c r="C54" s="3"/>
      <c r="D54" s="3"/>
      <c r="E54" s="6"/>
      <c r="F54" s="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</row>
    <row r="55" spans="1:22" ht="24.75" customHeight="1" x14ac:dyDescent="0.25">
      <c r="A55" s="5"/>
      <c r="B55" s="3"/>
      <c r="C55" s="3"/>
      <c r="D55" s="3"/>
      <c r="E55" s="6"/>
      <c r="F55" s="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</row>
    <row r="56" spans="1:22" ht="24.75" customHeight="1" x14ac:dyDescent="0.25">
      <c r="A56" s="5"/>
      <c r="B56" s="3"/>
      <c r="C56" s="3"/>
      <c r="D56" s="3"/>
      <c r="E56" s="6"/>
      <c r="F56" s="4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</row>
    <row r="57" spans="1:22" ht="24.75" customHeight="1" x14ac:dyDescent="0.25">
      <c r="A57" s="5"/>
      <c r="B57" s="3"/>
      <c r="C57" s="3"/>
      <c r="D57" s="3"/>
      <c r="E57" s="6"/>
      <c r="F57" s="4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</row>
    <row r="58" spans="1:22" ht="24.75" customHeight="1" x14ac:dyDescent="0.25">
      <c r="A58" s="5"/>
      <c r="B58" s="3"/>
      <c r="C58" s="3"/>
      <c r="D58" s="3"/>
      <c r="E58" s="6"/>
      <c r="F58" s="4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</row>
    <row r="59" spans="1:22" ht="24.75" customHeight="1" x14ac:dyDescent="0.25">
      <c r="A59" s="5"/>
      <c r="B59" s="3"/>
      <c r="C59" s="3"/>
      <c r="D59" s="3"/>
      <c r="E59" s="6"/>
      <c r="F59" s="4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</row>
    <row r="60" spans="1:22" ht="24.75" customHeight="1" x14ac:dyDescent="0.25">
      <c r="A60" s="5"/>
      <c r="B60" s="3"/>
      <c r="C60" s="3"/>
      <c r="D60" s="3"/>
      <c r="E60" s="6"/>
      <c r="F60" s="4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</row>
    <row r="61" spans="1:22" ht="24.75" customHeight="1" x14ac:dyDescent="0.25">
      <c r="A61" s="5"/>
      <c r="B61" s="3"/>
      <c r="C61" s="3"/>
      <c r="D61" s="3"/>
      <c r="E61" s="6"/>
      <c r="F61" s="4"/>
    </row>
    <row r="62" spans="1:22" ht="24.75" customHeight="1" x14ac:dyDescent="0.25">
      <c r="A62" s="5"/>
      <c r="B62" s="3"/>
      <c r="C62" s="3"/>
      <c r="D62" s="3"/>
      <c r="E62" s="6"/>
      <c r="F62" s="4"/>
    </row>
    <row r="63" spans="1:22" ht="24.75" customHeight="1" x14ac:dyDescent="0.25">
      <c r="A63" s="5"/>
      <c r="B63" s="3"/>
      <c r="C63" s="3"/>
      <c r="D63" s="3"/>
      <c r="E63" s="6"/>
      <c r="F63" s="4"/>
    </row>
    <row r="64" spans="1:22" ht="24.75" customHeight="1" x14ac:dyDescent="0.25">
      <c r="A64" s="5"/>
      <c r="B64" s="3"/>
      <c r="C64" s="3"/>
      <c r="D64" s="3"/>
      <c r="E64" s="6"/>
      <c r="F64" s="4"/>
    </row>
    <row r="65" spans="1:6" ht="24.75" customHeight="1" x14ac:dyDescent="0.25">
      <c r="A65" s="5"/>
      <c r="B65" s="3"/>
      <c r="C65" s="3"/>
      <c r="D65" s="3"/>
      <c r="E65" s="6"/>
      <c r="F65" s="4"/>
    </row>
    <row r="66" spans="1:6" ht="24.75" customHeight="1" x14ac:dyDescent="0.25">
      <c r="A66" s="5"/>
      <c r="B66" s="3"/>
      <c r="C66" s="3"/>
      <c r="D66" s="3"/>
      <c r="E66" s="6"/>
      <c r="F66" s="4"/>
    </row>
    <row r="67" spans="1:6" ht="24.75" customHeight="1" x14ac:dyDescent="0.25">
      <c r="A67" s="5"/>
      <c r="B67" s="3"/>
      <c r="C67" s="3"/>
      <c r="D67" s="3"/>
      <c r="E67" s="6"/>
      <c r="F67" s="4"/>
    </row>
    <row r="68" spans="1:6" ht="24.75" customHeight="1" x14ac:dyDescent="0.25">
      <c r="A68" s="5"/>
      <c r="B68" s="3"/>
      <c r="C68" s="3"/>
      <c r="D68" s="3"/>
      <c r="E68" s="6"/>
      <c r="F68" s="4"/>
    </row>
    <row r="69" spans="1:6" ht="24.75" customHeight="1" x14ac:dyDescent="0.25">
      <c r="A69" s="5"/>
      <c r="B69" s="3"/>
      <c r="C69" s="3"/>
      <c r="D69" s="3"/>
      <c r="E69" s="6"/>
      <c r="F69" s="4"/>
    </row>
    <row r="70" spans="1:6" ht="24.75" customHeight="1" x14ac:dyDescent="0.25">
      <c r="A70" s="5"/>
      <c r="B70" s="3"/>
      <c r="C70" s="3"/>
      <c r="D70" s="3"/>
      <c r="E70" s="6"/>
      <c r="F70" s="4"/>
    </row>
    <row r="71" spans="1:6" ht="24.75" customHeight="1" x14ac:dyDescent="0.25">
      <c r="A71" s="5"/>
      <c r="B71" s="3"/>
      <c r="C71" s="3"/>
      <c r="D71" s="3"/>
      <c r="E71" s="6"/>
      <c r="F71" s="4"/>
    </row>
    <row r="72" spans="1:6" ht="24.75" customHeight="1" x14ac:dyDescent="0.25">
      <c r="A72" s="5"/>
      <c r="B72" s="3"/>
      <c r="C72" s="3"/>
      <c r="D72" s="3"/>
      <c r="E72" s="6"/>
      <c r="F72" s="4"/>
    </row>
    <row r="73" spans="1:6" ht="24.75" customHeight="1" x14ac:dyDescent="0.25">
      <c r="A73" s="5"/>
      <c r="B73" s="3"/>
      <c r="C73" s="3"/>
      <c r="D73" s="3"/>
      <c r="E73" s="6"/>
      <c r="F73" s="4"/>
    </row>
    <row r="74" spans="1:6" ht="24.75" customHeight="1" x14ac:dyDescent="0.25">
      <c r="A74" s="5"/>
      <c r="B74" s="3"/>
      <c r="C74" s="3"/>
      <c r="D74" s="3"/>
      <c r="E74" s="6"/>
      <c r="F74" s="4"/>
    </row>
    <row r="75" spans="1:6" ht="24.75" customHeight="1" x14ac:dyDescent="0.25">
      <c r="A75" s="5"/>
      <c r="B75" s="3"/>
      <c r="C75" s="3"/>
      <c r="D75" s="3"/>
      <c r="E75" s="6"/>
      <c r="F75" s="4"/>
    </row>
    <row r="76" spans="1:6" ht="24.75" customHeight="1" x14ac:dyDescent="0.25">
      <c r="A76" s="5"/>
      <c r="B76" s="3"/>
      <c r="C76" s="3"/>
      <c r="D76" s="3"/>
      <c r="E76" s="6"/>
      <c r="F76" s="4"/>
    </row>
    <row r="77" spans="1:6" ht="24.75" customHeight="1" x14ac:dyDescent="0.25">
      <c r="A77" s="5"/>
      <c r="B77" s="3"/>
      <c r="C77" s="3"/>
      <c r="D77" s="3"/>
      <c r="E77" s="6"/>
      <c r="F77" s="4"/>
    </row>
    <row r="78" spans="1:6" ht="24.75" customHeight="1" x14ac:dyDescent="0.25">
      <c r="A78" s="5"/>
      <c r="B78" s="3"/>
      <c r="C78" s="3"/>
      <c r="D78" s="3"/>
      <c r="E78" s="6"/>
      <c r="F78" s="4"/>
    </row>
    <row r="79" spans="1:6" ht="24.75" customHeight="1" x14ac:dyDescent="0.25">
      <c r="A79" s="5"/>
      <c r="B79" s="3"/>
      <c r="C79" s="3"/>
      <c r="D79" s="3"/>
      <c r="E79" s="6"/>
      <c r="F79" s="4"/>
    </row>
    <row r="80" spans="1:6" ht="24.75" customHeight="1" x14ac:dyDescent="0.25">
      <c r="A80" s="5"/>
      <c r="B80" s="3"/>
      <c r="C80" s="3"/>
      <c r="D80" s="3"/>
      <c r="E80" s="6"/>
      <c r="F80" s="4"/>
    </row>
    <row r="81" spans="1:6" ht="24.75" customHeight="1" x14ac:dyDescent="0.25">
      <c r="A81" s="5"/>
      <c r="B81" s="3"/>
      <c r="C81" s="3"/>
      <c r="D81" s="3"/>
      <c r="E81" s="6"/>
      <c r="F81" s="4"/>
    </row>
    <row r="82" spans="1:6" ht="24.75" customHeight="1" x14ac:dyDescent="0.25">
      <c r="A82" s="5"/>
      <c r="B82" s="3"/>
      <c r="C82" s="3"/>
      <c r="D82" s="3"/>
      <c r="E82" s="6"/>
      <c r="F82" s="4"/>
    </row>
    <row r="83" spans="1:6" ht="24.75" customHeight="1" x14ac:dyDescent="0.25">
      <c r="A83" s="5"/>
      <c r="B83" s="3"/>
      <c r="C83" s="3"/>
      <c r="D83" s="3"/>
      <c r="E83" s="6"/>
      <c r="F83" s="4"/>
    </row>
    <row r="84" spans="1:6" ht="24.75" customHeight="1" x14ac:dyDescent="0.25">
      <c r="A84" s="5"/>
      <c r="B84" s="3"/>
      <c r="C84" s="3"/>
      <c r="D84" s="3"/>
      <c r="E84" s="6"/>
      <c r="F84" s="4"/>
    </row>
    <row r="85" spans="1:6" ht="24.75" customHeight="1" x14ac:dyDescent="0.25">
      <c r="A85" s="5"/>
      <c r="B85" s="3"/>
      <c r="C85" s="3"/>
      <c r="D85" s="3"/>
      <c r="E85" s="6"/>
      <c r="F85" s="4"/>
    </row>
    <row r="86" spans="1:6" ht="24.75" customHeight="1" x14ac:dyDescent="0.25">
      <c r="A86" s="5"/>
      <c r="B86" s="3"/>
      <c r="C86" s="3"/>
      <c r="D86" s="3"/>
      <c r="E86" s="6"/>
      <c r="F86" s="4"/>
    </row>
    <row r="87" spans="1:6" ht="24.75" customHeight="1" x14ac:dyDescent="0.25">
      <c r="A87" s="5"/>
      <c r="B87" s="3"/>
      <c r="C87" s="3"/>
      <c r="D87" s="3"/>
      <c r="E87" s="6"/>
      <c r="F87" s="4"/>
    </row>
    <row r="88" spans="1:6" ht="24.75" customHeight="1" x14ac:dyDescent="0.25">
      <c r="A88" s="5"/>
      <c r="B88" s="3"/>
      <c r="C88" s="3"/>
      <c r="D88" s="3"/>
      <c r="E88" s="6"/>
      <c r="F88" s="4"/>
    </row>
    <row r="89" spans="1:6" ht="24.75" customHeight="1" x14ac:dyDescent="0.25">
      <c r="A89" s="5"/>
      <c r="B89" s="3"/>
      <c r="C89" s="3"/>
      <c r="D89" s="3"/>
      <c r="E89" s="6"/>
      <c r="F89" s="4"/>
    </row>
  </sheetData>
  <mergeCells count="21">
    <mergeCell ref="K16:L16"/>
    <mergeCell ref="K30:L30"/>
    <mergeCell ref="K18:L18"/>
    <mergeCell ref="K25:L25"/>
    <mergeCell ref="K24:L24"/>
    <mergeCell ref="K32:L32"/>
    <mergeCell ref="K31:L31"/>
    <mergeCell ref="K27:L27"/>
    <mergeCell ref="R8:T8"/>
    <mergeCell ref="H13:I13"/>
    <mergeCell ref="K14:L14"/>
    <mergeCell ref="K17:L17"/>
    <mergeCell ref="K10:L10"/>
    <mergeCell ref="K28:L28"/>
    <mergeCell ref="K19:L19"/>
    <mergeCell ref="K15:L15"/>
    <mergeCell ref="K9:L9"/>
    <mergeCell ref="K26:L26"/>
    <mergeCell ref="K29:L29"/>
    <mergeCell ref="K11:L11"/>
    <mergeCell ref="K20:L20"/>
  </mergeCells>
  <conditionalFormatting sqref="M19">
    <cfRule type="cellIs" dxfId="69" priority="3" operator="lessThan">
      <formula>0</formula>
    </cfRule>
    <cfRule type="cellIs" dxfId="68" priority="4" operator="greaterThanOrEqual">
      <formula>0</formula>
    </cfRule>
  </conditionalFormatting>
  <conditionalFormatting sqref="M32">
    <cfRule type="cellIs" dxfId="67" priority="5" operator="equal">
      <formula>"di atas kebiasaan"</formula>
    </cfRule>
    <cfRule type="cellIs" dxfId="66" priority="6" operator="equal">
      <formula>"di bawah kebiasaan"</formula>
    </cfRule>
  </conditionalFormatting>
  <conditionalFormatting sqref="U12:U15">
    <cfRule type="cellIs" dxfId="65" priority="7" operator="greaterThan">
      <formula>0</formula>
    </cfRule>
    <cfRule type="cellIs" dxfId="64" priority="8" operator="lessThan">
      <formula>0</formula>
    </cfRule>
  </conditionalFormatting>
  <conditionalFormatting sqref="U19:U23">
    <cfRule type="cellIs" dxfId="63" priority="9" operator="greaterThan">
      <formula>0</formula>
    </cfRule>
    <cfRule type="cellIs" dxfId="62" priority="10" operator="lessThan">
      <formula>0</formula>
    </cfRule>
  </conditionalFormatting>
  <conditionalFormatting sqref="B6:B505">
    <cfRule type="expression" dxfId="61" priority="11" stopIfTrue="1">
      <formula>TRIM($B6)="Pengeluaran"</formula>
    </cfRule>
    <cfRule type="expression" dxfId="60" priority="12" stopIfTrue="1">
      <formula>TRIM($B6)="Pemasukan"</formula>
    </cfRule>
  </conditionalFormatting>
  <dataValidations count="3">
    <dataValidation type="list" errorStyle="warning" allowBlank="1" errorTitle="Di luar daftar" error="Nilai ini tidak ada di sheet Master. Tetap pakai?" sqref="B6:B505" xr:uid="{00000000-0002-0000-0800-000000000000}">
      <formula1>ListTipe</formula1>
    </dataValidation>
    <dataValidation type="list" errorStyle="warning" allowBlank="1" errorTitle="Di luar daftar" error="Nilai ini tidak ada di sheet Master. Tetap pakai?" sqref="C6:C505" xr:uid="{00000000-0002-0000-0800-000001000000}">
      <formula1>ListPembayaran</formula1>
    </dataValidation>
    <dataValidation type="list" errorStyle="warning" allowBlank="1" errorTitle="Di luar daftar" error="Nilai ini tidak ada di sheet Master. Tetap pakai?" sqref="D6:D505" xr:uid="{00000000-0002-0000-0800-000002000000}">
      <formula1>ListKategori</formula1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5" name="Button 1">
              <controlPr defaultSize="0" print="0" autoFill="0" autoPict="0" macro="TambahBarisBaru_ActiveSheet">
                <anchor moveWithCells="1" sizeWithCells="1">
                  <from>
                    <xdr:col>4</xdr:col>
                    <xdr:colOff>1457325</xdr:colOff>
                    <xdr:row>1</xdr:row>
                    <xdr:rowOff>285750</xdr:rowOff>
                  </from>
                  <to>
                    <xdr:col>5</xdr:col>
                    <xdr:colOff>3038475</xdr:colOff>
                    <xdr:row>3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/>
  <dimension ref="A1:AO90"/>
  <sheetViews>
    <sheetView topLeftCell="A79" workbookViewId="0">
      <selection activeCell="E9" sqref="E9"/>
    </sheetView>
  </sheetViews>
  <sheetFormatPr defaultRowHeight="24.75" customHeight="1" x14ac:dyDescent="0.25"/>
  <cols>
    <col min="1" max="1" width="15" customWidth="1"/>
    <col min="2" max="2" width="14" customWidth="1"/>
    <col min="3" max="3" width="20.85546875" customWidth="1"/>
    <col min="4" max="5" width="22.140625" customWidth="1"/>
    <col min="6" max="6" width="46" customWidth="1"/>
    <col min="7" max="7" width="2" customWidth="1"/>
    <col min="8" max="8" width="16.7109375" customWidth="1"/>
    <col min="9" max="9" width="16.42578125" customWidth="1"/>
    <col min="11" max="11" width="26" customWidth="1"/>
    <col min="12" max="12" width="9" customWidth="1"/>
    <col min="13" max="15" width="16" customWidth="1"/>
    <col min="16" max="16" width="19" customWidth="1"/>
    <col min="17" max="17" width="2" customWidth="1"/>
    <col min="18" max="18" width="22" customWidth="1"/>
    <col min="19" max="21" width="15" customWidth="1"/>
    <col min="22" max="22" width="34" customWidth="1"/>
    <col min="30" max="41" width="13" hidden="1" customWidth="1"/>
  </cols>
  <sheetData>
    <row r="1" spans="1:41" ht="24.75" customHeight="1" x14ac:dyDescent="0.25">
      <c r="A1" s="15" t="s">
        <v>45</v>
      </c>
      <c r="B1" s="16">
        <v>2500000</v>
      </c>
      <c r="C1" s="17" t="s">
        <v>46</v>
      </c>
      <c r="D1" s="16">
        <v>2000000</v>
      </c>
      <c r="K1" s="32" t="s">
        <v>47</v>
      </c>
      <c r="L1" s="33"/>
      <c r="M1" s="33"/>
      <c r="N1" s="33"/>
      <c r="O1" s="33"/>
      <c r="P1" s="33"/>
      <c r="Q1" s="33"/>
      <c r="R1" s="32" t="s">
        <v>48</v>
      </c>
      <c r="S1" s="33"/>
      <c r="T1" s="33"/>
      <c r="U1" s="33"/>
      <c r="V1" s="33"/>
      <c r="AD1" s="33">
        <f>DATE(2026,9,1)</f>
        <v>46266</v>
      </c>
      <c r="AE1" s="33"/>
      <c r="AF1" s="33" t="s">
        <v>49</v>
      </c>
      <c r="AG1" s="33"/>
      <c r="AH1" s="33" t="s">
        <v>50</v>
      </c>
      <c r="AI1" s="33" t="s">
        <v>51</v>
      </c>
      <c r="AJ1" s="33" t="str">
        <f>Master!$A$5</f>
        <v>Kategori Uji 01</v>
      </c>
      <c r="AK1" s="33">
        <f>SUMIFS(SepTable[Jumlah (Rp)],SepTable[Tipe],"Pengeluaran",SepTable[Kategori],AJ1)</f>
        <v>80000</v>
      </c>
      <c r="AL1" s="33">
        <f>SUMIFS(AugTable[Jumlah (Rp)],AugTable[Tipe],"Pengeluaran",AugTable[Kategori],AJ1)</f>
        <v>0</v>
      </c>
      <c r="AM1" s="33">
        <f t="shared" ref="AM1:AM23" si="0">AK1+ROW()/1000000</f>
        <v>80000.000000999993</v>
      </c>
      <c r="AN1" s="33">
        <f>MAX($AM$1:$AM$23)</f>
        <v>320000.00000399997</v>
      </c>
      <c r="AO1" s="33">
        <f>IFERROR(MATCH(AN1,$AM$1:$AM$23,0),0)</f>
        <v>4</v>
      </c>
    </row>
    <row r="2" spans="1:41" ht="24.75" customHeight="1" x14ac:dyDescent="0.25">
      <c r="A2" s="15" t="s">
        <v>5</v>
      </c>
      <c r="B2" s="7">
        <f>IF(B1=0,"",B1-D4)</f>
        <v>900000</v>
      </c>
      <c r="C2" s="17" t="s">
        <v>52</v>
      </c>
      <c r="D2" s="2">
        <f>SUMIFS(SepTable[Jumlah (Rp)],SepTable[Tipe],"Pemasukan")</f>
        <v>0</v>
      </c>
      <c r="E2" s="8">
        <f>IFERROR(D2/(D2+D3),0)</f>
        <v>0</v>
      </c>
      <c r="K2" s="34" t="s">
        <v>53</v>
      </c>
      <c r="L2" s="34" t="s">
        <v>54</v>
      </c>
      <c r="M2" s="34" t="s">
        <v>55</v>
      </c>
      <c r="N2" s="34" t="s">
        <v>56</v>
      </c>
      <c r="O2" s="34" t="s">
        <v>57</v>
      </c>
      <c r="P2" s="34" t="s">
        <v>58</v>
      </c>
      <c r="Q2" s="33"/>
      <c r="R2" s="34" t="s">
        <v>59</v>
      </c>
      <c r="S2" s="34" t="s">
        <v>49</v>
      </c>
      <c r="T2" s="34" t="s">
        <v>25</v>
      </c>
      <c r="U2" s="34" t="s">
        <v>60</v>
      </c>
      <c r="V2" s="34" t="s">
        <v>61</v>
      </c>
      <c r="AD2" s="33">
        <f>EOMONTH(AD1,0)</f>
        <v>46295</v>
      </c>
      <c r="AE2" s="33"/>
      <c r="AF2" s="33">
        <v>1</v>
      </c>
      <c r="AG2" s="33">
        <f t="shared" ref="AG2:AG32" si="1">DATE(2026,9,AF2)</f>
        <v>46266</v>
      </c>
      <c r="AH2" s="33">
        <f ca="1">IF(OR(AF2&gt;$AD$4,AF2&gt;$AD$3),NA(),SUMIFS(SepTable[Jumlah (Rp)],SepTable[Tipe],"Pengeluaran",SepTable[Tanggal],"&lt;="&amp;AG2))</f>
        <v>320000</v>
      </c>
      <c r="AI2" s="33">
        <f>IF(AF2&gt;$AD$4,NA(),Rekap!$B$19/$AD$4*AF2)</f>
        <v>7908.333333333333</v>
      </c>
      <c r="AJ2" s="33" t="str">
        <f>Master!$A$6</f>
        <v>Kategori Uji 02</v>
      </c>
      <c r="AK2" s="33">
        <f>SUMIFS(SepTable[Jumlah (Rp)],SepTable[Tipe],"Pengeluaran",SepTable[Kategori],AJ2)</f>
        <v>0</v>
      </c>
      <c r="AL2" s="33">
        <f>SUMIFS(AugTable[Jumlah (Rp)],AugTable[Tipe],"Pengeluaran",AugTable[Kategori],AJ2)</f>
        <v>0</v>
      </c>
      <c r="AM2" s="33">
        <f t="shared" si="0"/>
        <v>1.9999999999999999E-6</v>
      </c>
      <c r="AN2" s="33">
        <f>SUMPRODUCT(MAX(($AM$1:$AM$23&lt;AN1)*$AM$1:$AM$23))</f>
        <v>80000.000000999993</v>
      </c>
      <c r="AO2" s="33">
        <f>IFERROR(MATCH(AN2,$AM$1:$AM$23,0),0)</f>
        <v>1</v>
      </c>
    </row>
    <row r="3" spans="1:41" ht="24.75" customHeight="1" x14ac:dyDescent="0.25">
      <c r="A3" s="15" t="s">
        <v>6</v>
      </c>
      <c r="B3" s="18" t="str">
        <f>IF(D2=0,"",(D2-D3)/D2)</f>
        <v/>
      </c>
      <c r="C3" s="19" t="s">
        <v>62</v>
      </c>
      <c r="D3" s="2">
        <f>SUMIFS(SepTable[Jumlah (Rp)],SepTable[Tipe],"Pengeluaran")</f>
        <v>400000</v>
      </c>
      <c r="E3" s="8">
        <f>IFERROR(D3/(D2+D3),0)</f>
        <v>1</v>
      </c>
      <c r="K3" s="35" t="str">
        <f>"Uang Makan (hari kerja "&amp;TEXT($AD$1-1,"mmmm")&amp;")"</f>
        <v>Uang Makan (hari kerja August)</v>
      </c>
      <c r="L3" s="36">
        <v>10</v>
      </c>
      <c r="M3" s="37">
        <f>$M$10*$M$11</f>
        <v>0</v>
      </c>
      <c r="N3" s="37">
        <f>SUMIFS(SepTable[Jumlah (Rp)],SepTable[Tipe],"Pemasukan",SepTable[Kategori],"Uang Makan")</f>
        <v>0</v>
      </c>
      <c r="O3" s="37">
        <f ca="1">IF(OR(N3&gt;0,TODAY()&gt;$AD$2),0,N(M3))</f>
        <v>0</v>
      </c>
      <c r="P3" s="35" t="str">
        <f ca="1">IF(N3&gt;0,"sudah cair",IF(TODAY()&gt;$AD$2,"bulan sudah lewat",IF(N(M3)=0,"isi estimasi dulu","menunggu tgl 10")))</f>
        <v>isi estimasi dulu</v>
      </c>
      <c r="Q3" s="33"/>
      <c r="R3" s="36">
        <v>1</v>
      </c>
      <c r="S3" s="38">
        <f>IF($AE$6=0,"",INDEX(SepTable[Tanggal],$AE$6))</f>
        <v>46266</v>
      </c>
      <c r="T3" s="35" t="str">
        <f>IF($AE$6=0,"",INDEX(SepTable[Kategori],$AE$6))</f>
        <v>Kategori Uji 04</v>
      </c>
      <c r="U3" s="37">
        <f>IF($AE$6=0,"",INDEX(SepTable[Jumlah (Rp)],$AE$6))</f>
        <v>320000</v>
      </c>
      <c r="V3" s="35" t="str">
        <f>IF($AE$6=0,"",INDEX(SepTable[Keterangan],$AE$6))</f>
        <v>Belanja uji delta</v>
      </c>
      <c r="AD3" s="33">
        <f ca="1">IF(TODAY()&gt;=AD2,DAY(AD2),IF(TODAY()&lt;AD1,0,DAY(TODAY())))</f>
        <v>19</v>
      </c>
      <c r="AE3" s="33"/>
      <c r="AF3" s="33">
        <v>2</v>
      </c>
      <c r="AG3" s="33">
        <f t="shared" si="1"/>
        <v>46267</v>
      </c>
      <c r="AH3" s="33">
        <f ca="1">IF(OR(AF3&gt;$AD$4,AF3&gt;$AD$3),NA(),SUMIFS(SepTable[Jumlah (Rp)],SepTable[Tipe],"Pengeluaran",SepTable[Tanggal],"&lt;="&amp;AG3))</f>
        <v>320000</v>
      </c>
      <c r="AI3" s="33">
        <f>IF(AF3&gt;$AD$4,NA(),Rekap!$B$19/$AD$4*AF3)</f>
        <v>15816.666666666666</v>
      </c>
      <c r="AJ3" s="33" t="str">
        <f>Master!$A$7</f>
        <v>Kategori Uji 03</v>
      </c>
      <c r="AK3" s="33">
        <f>SUMIFS(SepTable[Jumlah (Rp)],SepTable[Tipe],"Pengeluaran",SepTable[Kategori],AJ3)</f>
        <v>0</v>
      </c>
      <c r="AL3" s="33">
        <f>SUMIFS(AugTable[Jumlah (Rp)],AugTable[Tipe],"Pengeluaran",AugTable[Kategori],AJ3)</f>
        <v>0</v>
      </c>
      <c r="AM3" s="33">
        <f t="shared" si="0"/>
        <v>3.0000000000000001E-6</v>
      </c>
      <c r="AN3" s="33">
        <f>SUMPRODUCT(MAX(($AM$1:$AM$23&lt;AN2)*$AM$1:$AM$23))</f>
        <v>2.3E-5</v>
      </c>
      <c r="AO3" s="33">
        <f>IFERROR(MATCH(AN3,$AM$1:$AM$23,0),0)</f>
        <v>23</v>
      </c>
    </row>
    <row r="4" spans="1:41" ht="24.75" customHeight="1" x14ac:dyDescent="0.25">
      <c r="A4" s="15" t="s">
        <v>63</v>
      </c>
      <c r="B4">
        <f>COUNTA(SepTable[Tanggal])</f>
        <v>2</v>
      </c>
      <c r="C4" s="17" t="s">
        <v>64</v>
      </c>
      <c r="D4" s="20">
        <f>D1+D2-D3</f>
        <v>1600000</v>
      </c>
      <c r="K4" s="35" t="s">
        <v>144</v>
      </c>
      <c r="L4" s="36">
        <v>10</v>
      </c>
      <c r="M4" s="39">
        <v>5000000</v>
      </c>
      <c r="N4" s="37">
        <f>SUMIFS(SepTable[Jumlah (Rp)],SepTable[Tipe],"Pemasukan",SepTable[Kategori],"Gaji")</f>
        <v>0</v>
      </c>
      <c r="O4" s="37">
        <f ca="1">IF(OR(N4&gt;1000000,TODAY()&gt;$AD$2),0,N(M4))</f>
        <v>5000000</v>
      </c>
      <c r="P4" s="35" t="str">
        <f ca="1">IF(N4&gt;1000000,"sudah cair",IF(TODAY()&gt;$AD$2,"bulan sudah lewat",IF(N(M4)=0,"isi estimasi dulu","menunggu tgl 25")))</f>
        <v>menunggu tgl 25</v>
      </c>
      <c r="Q4" s="33"/>
      <c r="R4" s="36">
        <v>2</v>
      </c>
      <c r="S4" s="38">
        <f>IF($AE$7=0,"",INDEX(SepTable[Tanggal],$AE$7))</f>
        <v>46280</v>
      </c>
      <c r="T4" s="35" t="str">
        <f>IF($AE$7=0,"",INDEX(SepTable[Kategori],$AE$7))</f>
        <v>Kategori Uji 01</v>
      </c>
      <c r="U4" s="37">
        <f>IF($AE$7=0,"",INDEX(SepTable[Jumlah (Rp)],$AE$7))</f>
        <v>80000</v>
      </c>
      <c r="V4" s="35" t="str">
        <f>IF($AE$7=0,"",INDEX(SepTable[Keterangan],$AE$7))</f>
        <v>Belanja uji epsilon</v>
      </c>
      <c r="AD4" s="33">
        <f>DAY(AD2)</f>
        <v>30</v>
      </c>
      <c r="AE4" s="33"/>
      <c r="AF4" s="33">
        <v>3</v>
      </c>
      <c r="AG4" s="33">
        <f t="shared" si="1"/>
        <v>46268</v>
      </c>
      <c r="AH4" s="33">
        <f ca="1">IF(OR(AF4&gt;$AD$4,AF4&gt;$AD$3),NA(),SUMIFS(SepTable[Jumlah (Rp)],SepTable[Tipe],"Pengeluaran",SepTable[Tanggal],"&lt;="&amp;AG4))</f>
        <v>320000</v>
      </c>
      <c r="AI4" s="33">
        <f>IF(AF4&gt;$AD$4,NA(),Rekap!$B$19/$AD$4*AF4)</f>
        <v>23725</v>
      </c>
      <c r="AJ4" s="33" t="str">
        <f>Master!$A$8</f>
        <v>Kategori Uji 04</v>
      </c>
      <c r="AK4" s="33">
        <f>SUMIFS(SepTable[Jumlah (Rp)],SepTable[Tipe],"Pengeluaran",SepTable[Kategori],AJ4)</f>
        <v>320000</v>
      </c>
      <c r="AL4" s="33">
        <f>SUMIFS(AugTable[Jumlah (Rp)],AugTable[Tipe],"Pengeluaran",AugTable[Kategori],AJ4)</f>
        <v>0</v>
      </c>
      <c r="AM4" s="33">
        <f t="shared" si="0"/>
        <v>320000.00000399997</v>
      </c>
      <c r="AN4" s="33">
        <f>SUMPRODUCT(MAX(($AM$1:$AM$23&lt;AN3)*$AM$1:$AM$23))</f>
        <v>2.1999999999999999E-5</v>
      </c>
      <c r="AO4" s="33">
        <f>IFERROR(MATCH(AN4,$AM$1:$AM$23,0),0)</f>
        <v>22</v>
      </c>
    </row>
    <row r="5" spans="1:41" ht="24.75" customHeight="1" x14ac:dyDescent="0.25">
      <c r="A5" s="1" t="s">
        <v>49</v>
      </c>
      <c r="B5" s="1" t="s">
        <v>65</v>
      </c>
      <c r="C5" s="3" t="s">
        <v>66</v>
      </c>
      <c r="D5" s="1" t="s">
        <v>25</v>
      </c>
      <c r="E5" s="1" t="s">
        <v>67</v>
      </c>
      <c r="F5" s="1" t="s">
        <v>61</v>
      </c>
      <c r="K5" s="35" t="s">
        <v>145</v>
      </c>
      <c r="L5" s="36">
        <v>20</v>
      </c>
      <c r="M5" s="39">
        <v>1000000</v>
      </c>
      <c r="N5" s="37">
        <f>SUMIFS(SepTable[Jumlah (Rp)],SepTable[Tipe],"Pemasukan",SepTable[Kategori],"Freelance")</f>
        <v>0</v>
      </c>
      <c r="O5" s="37">
        <f ca="1">IF(OR(N5&gt;0,TODAY()&gt;$AD$2),0,N(M5))</f>
        <v>1000000</v>
      </c>
      <c r="P5" s="35" t="str">
        <f ca="1">IF(N5&gt;0,"sudah cair",IF(TODAY()&gt;$AD$2,"bulan sudah lewat",IF(N(M5)=0,"isi estimasi dulu","menunggu tgl 28")))</f>
        <v>menunggu tgl 28</v>
      </c>
      <c r="Q5" s="33"/>
      <c r="R5" s="36">
        <v>3</v>
      </c>
      <c r="S5" s="38" t="str">
        <f>IF($AE$8=0,"",INDEX(SepTable[Tanggal],$AE$8))</f>
        <v/>
      </c>
      <c r="T5" s="35" t="str">
        <f>IF($AE$8=0,"",INDEX(SepTable[Kategori],$AE$8))</f>
        <v/>
      </c>
      <c r="U5" s="37" t="str">
        <f>IF($AE$8=0,"",INDEX(SepTable[Jumlah (Rp)],$AE$8))</f>
        <v/>
      </c>
      <c r="V5" s="35" t="str">
        <f>IF($AE$8=0,"",INDEX(SepTable[Keterangan],$AE$8))</f>
        <v/>
      </c>
      <c r="AD5" s="33"/>
      <c r="AE5" s="33"/>
      <c r="AF5" s="33">
        <v>4</v>
      </c>
      <c r="AG5" s="33">
        <f t="shared" si="1"/>
        <v>46269</v>
      </c>
      <c r="AH5" s="33">
        <f ca="1">IF(OR(AF5&gt;$AD$4,AF5&gt;$AD$3),NA(),SUMIFS(SepTable[Jumlah (Rp)],SepTable[Tipe],"Pengeluaran",SepTable[Tanggal],"&lt;="&amp;AG5))</f>
        <v>320000</v>
      </c>
      <c r="AI5" s="33">
        <f>IF(AF5&gt;$AD$4,NA(),Rekap!$B$19/$AD$4*AF5)</f>
        <v>31633.333333333332</v>
      </c>
      <c r="AJ5" s="33" t="str">
        <f>Master!$A$9</f>
        <v>Kategori Uji 05</v>
      </c>
      <c r="AK5" s="33">
        <f>SUMIFS(SepTable[Jumlah (Rp)],SepTable[Tipe],"Pengeluaran",SepTable[Kategori],AJ5)</f>
        <v>0</v>
      </c>
      <c r="AL5" s="33">
        <f>SUMIFS(AugTable[Jumlah (Rp)],AugTable[Tipe],"Pengeluaran",AugTable[Kategori],AJ5)</f>
        <v>0</v>
      </c>
      <c r="AM5" s="33">
        <f t="shared" si="0"/>
        <v>5.0000000000000004E-6</v>
      </c>
      <c r="AN5" s="33">
        <f>SUMPRODUCT(MAX(($AM$1:$AM$23&lt;AN4)*$AM$1:$AM$23))</f>
        <v>2.0999999999999999E-5</v>
      </c>
      <c r="AO5" s="33">
        <f>IFERROR(MATCH(AN5,$AM$1:$AM$23,0),0)</f>
        <v>21</v>
      </c>
    </row>
    <row r="6" spans="1:41" ht="24.75" customHeight="1" x14ac:dyDescent="0.25">
      <c r="A6" s="59">
        <v>46266</v>
      </c>
      <c r="B6" s="60" t="s">
        <v>4</v>
      </c>
      <c r="C6" s="60" t="s">
        <v>154</v>
      </c>
      <c r="D6" s="61" t="s">
        <v>123</v>
      </c>
      <c r="E6" s="62">
        <v>320000</v>
      </c>
      <c r="F6" s="63" t="s">
        <v>164</v>
      </c>
      <c r="K6" s="40" t="s">
        <v>21</v>
      </c>
      <c r="L6" s="41"/>
      <c r="M6" s="42">
        <f>SUM(M3:M5)</f>
        <v>6000000</v>
      </c>
      <c r="N6" s="42">
        <f>SUM(N3:N5)</f>
        <v>0</v>
      </c>
      <c r="O6" s="42">
        <f ca="1">SUM(O3:O5)</f>
        <v>6000000</v>
      </c>
      <c r="P6" s="41"/>
      <c r="Q6" s="33"/>
      <c r="R6" s="36">
        <v>4</v>
      </c>
      <c r="S6" s="38" t="str">
        <f>IF($AE$9=0,"",INDEX(SepTable[Tanggal],$AE$9))</f>
        <v/>
      </c>
      <c r="T6" s="35" t="str">
        <f>IF($AE$9=0,"",INDEX(SepTable[Kategori],$AE$9))</f>
        <v/>
      </c>
      <c r="U6" s="37" t="str">
        <f>IF($AE$9=0,"",INDEX(SepTable[Jumlah (Rp)],$AE$9))</f>
        <v/>
      </c>
      <c r="V6" s="35" t="str">
        <f>IF($AE$9=0,"",INDEX(SepTable[Keterangan],$AE$9))</f>
        <v/>
      </c>
      <c r="AD6" s="33">
        <f>SUMPRODUCT(MAX((SepTable[Tipe]="Pengeluaran")*(SepTable[Jumlah (Rp)]+ROW(SepTable[Jumlah (Rp)])/1000000)))</f>
        <v>320000.00000599999</v>
      </c>
      <c r="AE6" s="33">
        <f>IFERROR(SUMPRODUCT(MATCH(AD6,(SepTable[Tipe]="Pengeluaran")*(SepTable[Jumlah (Rp)]+ROW(SepTable[Jumlah (Rp)])/1000000),0)),0)</f>
        <v>1</v>
      </c>
      <c r="AF6" s="33">
        <v>5</v>
      </c>
      <c r="AG6" s="33">
        <f t="shared" si="1"/>
        <v>46270</v>
      </c>
      <c r="AH6" s="33">
        <f ca="1">IF(OR(AF6&gt;$AD$4,AF6&gt;$AD$3),NA(),SUMIFS(SepTable[Jumlah (Rp)],SepTable[Tipe],"Pengeluaran",SepTable[Tanggal],"&lt;="&amp;AG6))</f>
        <v>320000</v>
      </c>
      <c r="AI6" s="33">
        <f>IF(AF6&gt;$AD$4,NA(),Rekap!$B$19/$AD$4*AF6)</f>
        <v>39541.666666666664</v>
      </c>
      <c r="AJ6" s="33" t="str">
        <f>Master!$A$10</f>
        <v>Kategori Uji 06</v>
      </c>
      <c r="AK6" s="33">
        <f>SUMIFS(SepTable[Jumlah (Rp)],SepTable[Tipe],"Pengeluaran",SepTable[Kategori],AJ6)</f>
        <v>0</v>
      </c>
      <c r="AL6" s="33">
        <f>SUMIFS(AugTable[Jumlah (Rp)],AugTable[Tipe],"Pengeluaran",AugTable[Kategori],AJ6)</f>
        <v>0</v>
      </c>
      <c r="AM6" s="33">
        <f t="shared" si="0"/>
        <v>6.0000000000000002E-6</v>
      </c>
      <c r="AN6" s="33"/>
      <c r="AO6" s="33"/>
    </row>
    <row r="7" spans="1:41" ht="24.75" customHeight="1" x14ac:dyDescent="0.25">
      <c r="A7" s="59">
        <v>46280</v>
      </c>
      <c r="B7" s="60" t="s">
        <v>4</v>
      </c>
      <c r="C7" s="60" t="s">
        <v>151</v>
      </c>
      <c r="D7" s="61" t="s">
        <v>120</v>
      </c>
      <c r="E7" s="62">
        <v>80000</v>
      </c>
      <c r="F7" s="63" t="s">
        <v>165</v>
      </c>
      <c r="K7" s="33"/>
      <c r="L7" s="33"/>
      <c r="M7" s="33"/>
      <c r="N7" s="33"/>
      <c r="O7" s="33"/>
      <c r="P7" s="33"/>
      <c r="Q7" s="33"/>
      <c r="R7" s="36">
        <v>5</v>
      </c>
      <c r="S7" s="38" t="str">
        <f>IF($AE$10=0,"",INDEX(SepTable[Tanggal],$AE$10))</f>
        <v/>
      </c>
      <c r="T7" s="35" t="str">
        <f>IF($AE$10=0,"",INDEX(SepTable[Kategori],$AE$10))</f>
        <v/>
      </c>
      <c r="U7" s="37" t="str">
        <f>IF($AE$10=0,"",INDEX(SepTable[Jumlah (Rp)],$AE$10))</f>
        <v/>
      </c>
      <c r="V7" s="35" t="str">
        <f>IF($AE$10=0,"",INDEX(SepTable[Keterangan],$AE$10))</f>
        <v/>
      </c>
      <c r="AD7" s="33">
        <f>SUMPRODUCT(MAX((SepTable[Tipe]="Pengeluaran")*((SepTable[Jumlah (Rp)]+ROW(SepTable[Jumlah (Rp)])/1000000)&lt;AD6)*(SepTable[Jumlah (Rp)]+ROW(SepTable[Jumlah (Rp)])/1000000)))</f>
        <v>80000.000006999995</v>
      </c>
      <c r="AE7" s="33">
        <f>IFERROR(SUMPRODUCT(MATCH(AD7,(SepTable[Tipe]="Pengeluaran")*(SepTable[Jumlah (Rp)]+ROW(SepTable[Jumlah (Rp)])/1000000),0)),0)</f>
        <v>2</v>
      </c>
      <c r="AF7" s="33">
        <v>6</v>
      </c>
      <c r="AG7" s="33">
        <f t="shared" si="1"/>
        <v>46271</v>
      </c>
      <c r="AH7" s="33">
        <f ca="1">IF(OR(AF7&gt;$AD$4,AF7&gt;$AD$3),NA(),SUMIFS(SepTable[Jumlah (Rp)],SepTable[Tipe],"Pengeluaran",SepTable[Tanggal],"&lt;="&amp;AG7))</f>
        <v>320000</v>
      </c>
      <c r="AI7" s="33">
        <f>IF(AF7&gt;$AD$4,NA(),Rekap!$B$19/$AD$4*AF7)</f>
        <v>47450</v>
      </c>
      <c r="AJ7" s="33" t="str">
        <f>Master!$A$11</f>
        <v>Kategori Uji 07</v>
      </c>
      <c r="AK7" s="33">
        <f>SUMIFS(SepTable[Jumlah (Rp)],SepTable[Tipe],"Pengeluaran",SepTable[Kategori],AJ7)</f>
        <v>0</v>
      </c>
      <c r="AL7" s="33">
        <f>SUMIFS(AugTable[Jumlah (Rp)],AugTable[Tipe],"Pengeluaran",AugTable[Kategori],AJ7)</f>
        <v>0</v>
      </c>
      <c r="AM7" s="33">
        <f t="shared" si="0"/>
        <v>6.9999999999999999E-6</v>
      </c>
      <c r="AN7" s="33"/>
      <c r="AO7" s="33"/>
    </row>
    <row r="8" spans="1:41" ht="24.75" customHeight="1" x14ac:dyDescent="0.25">
      <c r="A8" s="5"/>
      <c r="B8" s="3"/>
      <c r="C8" s="3"/>
      <c r="D8" s="3"/>
      <c r="E8" s="6"/>
      <c r="F8" s="4"/>
      <c r="K8" s="43" t="s">
        <v>68</v>
      </c>
      <c r="L8" s="33"/>
      <c r="M8" s="33"/>
      <c r="N8" s="33"/>
      <c r="O8" s="33"/>
      <c r="P8" s="33"/>
      <c r="Q8" s="33"/>
      <c r="R8" s="52" t="s">
        <v>69</v>
      </c>
      <c r="S8" s="55"/>
      <c r="T8" s="55"/>
      <c r="U8" s="42">
        <f>SUM(U3:U7)</f>
        <v>400000</v>
      </c>
      <c r="V8" s="44">
        <f>IFERROR(U8/$D$3,0)</f>
        <v>1</v>
      </c>
      <c r="AD8" s="33">
        <f>SUMPRODUCT(MAX((SepTable[Tipe]="Pengeluaran")*((SepTable[Jumlah (Rp)]+ROW(SepTable[Jumlah (Rp)])/1000000)&lt;AD7)*(SepTable[Jumlah (Rp)]+ROW(SepTable[Jumlah (Rp)])/1000000)))</f>
        <v>0</v>
      </c>
      <c r="AE8" s="33">
        <f>IFERROR(SUMPRODUCT(MATCH(AD8,(SepTable[Tipe]="Pengeluaran")*(SepTable[Jumlah (Rp)]+ROW(SepTable[Jumlah (Rp)])/1000000),0)),0)</f>
        <v>0</v>
      </c>
      <c r="AF8" s="33">
        <v>7</v>
      </c>
      <c r="AG8" s="33">
        <f t="shared" si="1"/>
        <v>46272</v>
      </c>
      <c r="AH8" s="33">
        <f ca="1">IF(OR(AF8&gt;$AD$4,AF8&gt;$AD$3),NA(),SUMIFS(SepTable[Jumlah (Rp)],SepTable[Tipe],"Pengeluaran",SepTable[Tanggal],"&lt;="&amp;AG8))</f>
        <v>320000</v>
      </c>
      <c r="AI8" s="33">
        <f>IF(AF8&gt;$AD$4,NA(),Rekap!$B$19/$AD$4*AF8)</f>
        <v>55358.333333333328</v>
      </c>
      <c r="AJ8" s="33" t="str">
        <f>Master!$A$12</f>
        <v>Kategori Uji 08</v>
      </c>
      <c r="AK8" s="33">
        <f>SUMIFS(SepTable[Jumlah (Rp)],SepTable[Tipe],"Pengeluaran",SepTable[Kategori],AJ8)</f>
        <v>0</v>
      </c>
      <c r="AL8" s="33">
        <f>SUMIFS(AugTable[Jumlah (Rp)],AugTable[Tipe],"Pengeluaran",AugTable[Kategori],AJ8)</f>
        <v>0</v>
      </c>
      <c r="AM8" s="33">
        <f t="shared" si="0"/>
        <v>7.9999999999999996E-6</v>
      </c>
      <c r="AN8" s="33"/>
      <c r="AO8" s="33"/>
    </row>
    <row r="9" spans="1:41" ht="24.75" customHeight="1" x14ac:dyDescent="0.25">
      <c r="A9" s="5"/>
      <c r="B9" s="3"/>
      <c r="C9" s="3"/>
      <c r="D9" s="3"/>
      <c r="E9" s="6"/>
      <c r="F9" s="4"/>
      <c r="K9" s="56" t="s">
        <v>61</v>
      </c>
      <c r="L9" s="53"/>
      <c r="M9" s="34" t="s">
        <v>70</v>
      </c>
      <c r="N9" s="33"/>
      <c r="O9" s="33"/>
      <c r="P9" s="33"/>
      <c r="Q9" s="33"/>
      <c r="R9" s="33"/>
      <c r="S9" s="33"/>
      <c r="T9" s="33"/>
      <c r="U9" s="33"/>
      <c r="V9" s="33"/>
      <c r="AD9" s="33">
        <f>SUMPRODUCT(MAX((SepTable[Tipe]="Pengeluaran")*((SepTable[Jumlah (Rp)]+ROW(SepTable[Jumlah (Rp)])/1000000)&lt;AD8)*(SepTable[Jumlah (Rp)]+ROW(SepTable[Jumlah (Rp)])/1000000)))</f>
        <v>0</v>
      </c>
      <c r="AE9" s="33">
        <f>IFERROR(SUMPRODUCT(MATCH(AD9,(SepTable[Tipe]="Pengeluaran")*(SepTable[Jumlah (Rp)]+ROW(SepTable[Jumlah (Rp)])/1000000),0)),0)</f>
        <v>0</v>
      </c>
      <c r="AF9" s="33">
        <v>8</v>
      </c>
      <c r="AG9" s="33">
        <f t="shared" si="1"/>
        <v>46273</v>
      </c>
      <c r="AH9" s="33">
        <f ca="1">IF(OR(AF9&gt;$AD$4,AF9&gt;$AD$3),NA(),SUMIFS(SepTable[Jumlah (Rp)],SepTable[Tipe],"Pengeluaran",SepTable[Tanggal],"&lt;="&amp;AG9))</f>
        <v>320000</v>
      </c>
      <c r="AI9" s="33">
        <f>IF(AF9&gt;$AD$4,NA(),Rekap!$B$19/$AD$4*AF9)</f>
        <v>63266.666666666664</v>
      </c>
      <c r="AJ9" s="33" t="str">
        <f>Master!$A$13</f>
        <v>Kategori Uji 09</v>
      </c>
      <c r="AK9" s="33">
        <f>SUMIFS(SepTable[Jumlah (Rp)],SepTable[Tipe],"Pengeluaran",SepTable[Kategori],AJ9)</f>
        <v>0</v>
      </c>
      <c r="AL9" s="33">
        <f>SUMIFS(AugTable[Jumlah (Rp)],AugTable[Tipe],"Pengeluaran",AugTable[Kategori],AJ9)</f>
        <v>0</v>
      </c>
      <c r="AM9" s="33">
        <f t="shared" si="0"/>
        <v>9.0000000000000002E-6</v>
      </c>
      <c r="AN9" s="33"/>
      <c r="AO9" s="33"/>
    </row>
    <row r="10" spans="1:41" ht="24.75" customHeight="1" x14ac:dyDescent="0.25">
      <c r="A10" s="5"/>
      <c r="B10" s="3"/>
      <c r="C10" s="3"/>
      <c r="D10" s="3"/>
      <c r="E10" s="6"/>
      <c r="F10" s="4"/>
      <c r="K10" s="54" t="str">
        <f>"Hari kerja "&amp;TEXT($AD$1-1,"mmmm")</f>
        <v>Hari kerja August</v>
      </c>
      <c r="L10" s="53"/>
      <c r="M10" s="45"/>
      <c r="N10" s="33"/>
      <c r="O10" s="33"/>
      <c r="P10" s="33"/>
      <c r="Q10" s="33"/>
      <c r="R10" s="32" t="s">
        <v>71</v>
      </c>
      <c r="S10" s="33"/>
      <c r="T10" s="33"/>
      <c r="U10" s="33"/>
      <c r="V10" s="33"/>
      <c r="AD10" s="33">
        <f>SUMPRODUCT(MAX((SepTable[Tipe]="Pengeluaran")*((SepTable[Jumlah (Rp)]+ROW(SepTable[Jumlah (Rp)])/1000000)&lt;AD9)*(SepTable[Jumlah (Rp)]+ROW(SepTable[Jumlah (Rp)])/1000000)))</f>
        <v>0</v>
      </c>
      <c r="AE10" s="33">
        <f>IFERROR(SUMPRODUCT(MATCH(AD10,(SepTable[Tipe]="Pengeluaran")*(SepTable[Jumlah (Rp)]+ROW(SepTable[Jumlah (Rp)])/1000000),0)),0)</f>
        <v>0</v>
      </c>
      <c r="AF10" s="33">
        <v>9</v>
      </c>
      <c r="AG10" s="33">
        <f t="shared" si="1"/>
        <v>46274</v>
      </c>
      <c r="AH10" s="33">
        <f ca="1">IF(OR(AF10&gt;$AD$4,AF10&gt;$AD$3),NA(),SUMIFS(SepTable[Jumlah (Rp)],SepTable[Tipe],"Pengeluaran",SepTable[Tanggal],"&lt;="&amp;AG10))</f>
        <v>320000</v>
      </c>
      <c r="AI10" s="33">
        <f>IF(AF10&gt;$AD$4,NA(),Rekap!$B$19/$AD$4*AF10)</f>
        <v>71175</v>
      </c>
      <c r="AJ10" s="33" t="str">
        <f>Master!$A$14</f>
        <v>Kategori Uji 10</v>
      </c>
      <c r="AK10" s="33">
        <f>SUMIFS(SepTable[Jumlah (Rp)],SepTable[Tipe],"Pengeluaran",SepTable[Kategori],AJ10)</f>
        <v>0</v>
      </c>
      <c r="AL10" s="33">
        <f>SUMIFS(AugTable[Jumlah (Rp)],AugTable[Tipe],"Pengeluaran",AugTable[Kategori],AJ10)</f>
        <v>0</v>
      </c>
      <c r="AM10" s="33">
        <f t="shared" si="0"/>
        <v>1.0000000000000001E-5</v>
      </c>
      <c r="AN10" s="33"/>
      <c r="AO10" s="33"/>
    </row>
    <row r="11" spans="1:41" ht="24.75" customHeight="1" x14ac:dyDescent="0.25">
      <c r="A11" s="5"/>
      <c r="B11" s="3"/>
      <c r="C11" s="3"/>
      <c r="D11" s="3"/>
      <c r="E11" s="6"/>
      <c r="F11" s="4"/>
      <c r="K11" s="54" t="s">
        <v>72</v>
      </c>
      <c r="L11" s="53"/>
      <c r="M11" s="39">
        <v>50000</v>
      </c>
      <c r="N11" s="33"/>
      <c r="O11" s="33"/>
      <c r="P11" s="33"/>
      <c r="Q11" s="33"/>
      <c r="R11" s="34" t="s">
        <v>84</v>
      </c>
      <c r="S11" s="34" t="s">
        <v>102</v>
      </c>
      <c r="T11" s="34" t="s">
        <v>33</v>
      </c>
      <c r="U11" s="34" t="s">
        <v>5</v>
      </c>
      <c r="V11" s="34" t="s">
        <v>95</v>
      </c>
      <c r="AD11" s="33"/>
      <c r="AE11" s="33"/>
      <c r="AF11" s="33">
        <v>10</v>
      </c>
      <c r="AG11" s="33">
        <f t="shared" si="1"/>
        <v>46275</v>
      </c>
      <c r="AH11" s="33">
        <f ca="1">IF(OR(AF11&gt;$AD$4,AF11&gt;$AD$3),NA(),SUMIFS(SepTable[Jumlah (Rp)],SepTable[Tipe],"Pengeluaran",SepTable[Tanggal],"&lt;="&amp;AG11))</f>
        <v>320000</v>
      </c>
      <c r="AI11" s="33">
        <f>IF(AF11&gt;$AD$4,NA(),Rekap!$B$19/$AD$4*AF11)</f>
        <v>79083.333333333328</v>
      </c>
      <c r="AJ11" s="33" t="str">
        <f>Master!$A$15</f>
        <v>Kategori Uji 11</v>
      </c>
      <c r="AK11" s="33">
        <f>SUMIFS(SepTable[Jumlah (Rp)],SepTable[Tipe],"Pengeluaran",SepTable[Kategori],AJ11)</f>
        <v>0</v>
      </c>
      <c r="AL11" s="33">
        <f>SUMIFS(AugTable[Jumlah (Rp)],AugTable[Tipe],"Pengeluaran",AugTable[Kategori],AJ11)</f>
        <v>0</v>
      </c>
      <c r="AM11" s="33">
        <f t="shared" si="0"/>
        <v>1.1E-5</v>
      </c>
      <c r="AN11" s="33"/>
      <c r="AO11" s="33"/>
    </row>
    <row r="12" spans="1:41" ht="24.75" customHeight="1" x14ac:dyDescent="0.25">
      <c r="A12" s="5"/>
      <c r="B12" s="3"/>
      <c r="C12" s="3"/>
      <c r="D12" s="3"/>
      <c r="E12" s="6"/>
      <c r="F12" s="4"/>
      <c r="H12" s="9" t="s">
        <v>65</v>
      </c>
      <c r="I12" t="s">
        <v>4</v>
      </c>
      <c r="K12" s="33"/>
      <c r="L12" s="33"/>
      <c r="M12" s="33"/>
      <c r="N12" s="33"/>
      <c r="O12" s="33"/>
      <c r="P12" s="33"/>
      <c r="Q12" s="33"/>
      <c r="R12" s="35" t="s">
        <v>3</v>
      </c>
      <c r="S12" s="37">
        <f>SUMIFS(AugTable[Jumlah (Rp)],AugTable[Tipe],"Pemasukan")</f>
        <v>0</v>
      </c>
      <c r="T12" s="37">
        <f>SUMIFS(SepTable[Jumlah (Rp)],SepTable[Tipe],"Pemasukan")</f>
        <v>0</v>
      </c>
      <c r="U12" s="37">
        <f>T12-S12</f>
        <v>0</v>
      </c>
      <c r="V12" s="48" t="str">
        <f>IFERROR(U12/S12,"")</f>
        <v/>
      </c>
      <c r="AD12" s="33"/>
      <c r="AE12" s="33"/>
      <c r="AF12" s="33">
        <v>11</v>
      </c>
      <c r="AG12" s="33">
        <f t="shared" si="1"/>
        <v>46276</v>
      </c>
      <c r="AH12" s="33">
        <f ca="1">IF(OR(AF12&gt;$AD$4,AF12&gt;$AD$3),NA(),SUMIFS(SepTable[Jumlah (Rp)],SepTable[Tipe],"Pengeluaran",SepTable[Tanggal],"&lt;="&amp;AG12))</f>
        <v>320000</v>
      </c>
      <c r="AI12" s="33">
        <f>IF(AF12&gt;$AD$4,NA(),Rekap!$B$19/$AD$4*AF12)</f>
        <v>86991.666666666657</v>
      </c>
      <c r="AJ12" s="33" t="str">
        <f>Master!$A$16</f>
        <v>Kategori Uji 12</v>
      </c>
      <c r="AK12" s="33">
        <f>SUMIFS(SepTable[Jumlah (Rp)],SepTable[Tipe],"Pengeluaran",SepTable[Kategori],AJ12)</f>
        <v>0</v>
      </c>
      <c r="AL12" s="33">
        <f>SUMIFS(AugTable[Jumlah (Rp)],AugTable[Tipe],"Pengeluaran",AugTable[Kategori],AJ12)</f>
        <v>0</v>
      </c>
      <c r="AM12" s="33">
        <f t="shared" si="0"/>
        <v>1.2E-5</v>
      </c>
      <c r="AN12" s="33"/>
      <c r="AO12" s="33"/>
    </row>
    <row r="13" spans="1:41" ht="24.75" customHeight="1" x14ac:dyDescent="0.25">
      <c r="A13" s="5"/>
      <c r="B13" s="3"/>
      <c r="C13" s="3"/>
      <c r="D13" s="3"/>
      <c r="E13" s="6"/>
      <c r="F13" s="4"/>
      <c r="H13" s="57" t="s">
        <v>74</v>
      </c>
      <c r="I13" s="58"/>
      <c r="K13" s="43" t="s">
        <v>75</v>
      </c>
      <c r="L13" s="33"/>
      <c r="M13" s="33"/>
      <c r="N13" s="33"/>
      <c r="O13" s="33"/>
      <c r="P13" s="33"/>
      <c r="Q13" s="33"/>
      <c r="R13" s="35" t="s">
        <v>4</v>
      </c>
      <c r="S13" s="37">
        <f>SUMIFS(AugTable[Jumlah (Rp)],AugTable[Tipe],"Pengeluaran")</f>
        <v>0</v>
      </c>
      <c r="T13" s="37">
        <f>SUMIFS(SepTable[Jumlah (Rp)],SepTable[Tipe],"Pengeluaran")</f>
        <v>400000</v>
      </c>
      <c r="U13" s="37">
        <f>T13-S13</f>
        <v>400000</v>
      </c>
      <c r="V13" s="48" t="str">
        <f>IFERROR(U13/S13,"")</f>
        <v/>
      </c>
      <c r="AD13" s="33"/>
      <c r="AE13" s="33"/>
      <c r="AF13" s="33">
        <v>12</v>
      </c>
      <c r="AG13" s="33">
        <f t="shared" si="1"/>
        <v>46277</v>
      </c>
      <c r="AH13" s="33">
        <f ca="1">IF(OR(AF13&gt;$AD$4,AF13&gt;$AD$3),NA(),SUMIFS(SepTable[Jumlah (Rp)],SepTable[Tipe],"Pengeluaran",SepTable[Tanggal],"&lt;="&amp;AG13))</f>
        <v>320000</v>
      </c>
      <c r="AI13" s="33">
        <f>IF(AF13&gt;$AD$4,NA(),Rekap!$B$19/$AD$4*AF13)</f>
        <v>94900</v>
      </c>
      <c r="AJ13" s="33" t="str">
        <f>Master!$A$17</f>
        <v>Kategori Uji 13</v>
      </c>
      <c r="AK13" s="33">
        <f>SUMIFS(SepTable[Jumlah (Rp)],SepTable[Tipe],"Pengeluaran",SepTable[Kategori],AJ13)</f>
        <v>0</v>
      </c>
      <c r="AL13" s="33">
        <f>SUMIFS(AugTable[Jumlah (Rp)],AugTable[Tipe],"Pengeluaran",AugTable[Kategori],AJ13)</f>
        <v>0</v>
      </c>
      <c r="AM13" s="33">
        <f t="shared" si="0"/>
        <v>1.2999999999999999E-5</v>
      </c>
      <c r="AN13" s="33"/>
      <c r="AO13" s="33"/>
    </row>
    <row r="14" spans="1:41" ht="24.75" customHeight="1" x14ac:dyDescent="0.25">
      <c r="A14" s="5"/>
      <c r="B14" s="3"/>
      <c r="C14" s="3"/>
      <c r="D14" s="3"/>
      <c r="E14" s="6"/>
      <c r="F14" s="4"/>
      <c r="H14" s="9" t="s">
        <v>25</v>
      </c>
      <c r="I14" t="s">
        <v>76</v>
      </c>
      <c r="K14" s="56" t="s">
        <v>61</v>
      </c>
      <c r="L14" s="53"/>
      <c r="M14" s="34" t="s">
        <v>70</v>
      </c>
      <c r="N14" s="33"/>
      <c r="O14" s="33"/>
      <c r="P14" s="33"/>
      <c r="Q14" s="33"/>
      <c r="R14" s="35" t="s">
        <v>96</v>
      </c>
      <c r="S14" s="47">
        <f>COUNTA(AugTable[Tanggal])</f>
        <v>0</v>
      </c>
      <c r="T14" s="47">
        <f>COUNTA(SepTable[Tanggal])</f>
        <v>2</v>
      </c>
      <c r="U14" s="47">
        <f>T14-S14</f>
        <v>2</v>
      </c>
      <c r="V14" s="48" t="str">
        <f>IFERROR(U14/S14,"")</f>
        <v/>
      </c>
      <c r="AD14" s="33"/>
      <c r="AE14" s="33"/>
      <c r="AF14" s="33">
        <v>13</v>
      </c>
      <c r="AG14" s="33">
        <f t="shared" si="1"/>
        <v>46278</v>
      </c>
      <c r="AH14" s="33">
        <f ca="1">IF(OR(AF14&gt;$AD$4,AF14&gt;$AD$3),NA(),SUMIFS(SepTable[Jumlah (Rp)],SepTable[Tipe],"Pengeluaran",SepTable[Tanggal],"&lt;="&amp;AG14))</f>
        <v>320000</v>
      </c>
      <c r="AI14" s="33">
        <f>IF(AF14&gt;$AD$4,NA(),Rekap!$B$19/$AD$4*AF14)</f>
        <v>102808.33333333333</v>
      </c>
      <c r="AJ14" s="33" t="str">
        <f>Master!$A$18</f>
        <v>Kategori Uji 14</v>
      </c>
      <c r="AK14" s="33">
        <f>SUMIFS(SepTable[Jumlah (Rp)],SepTable[Tipe],"Pengeluaran",SepTable[Kategori],AJ14)</f>
        <v>0</v>
      </c>
      <c r="AL14" s="33">
        <f>SUMIFS(AugTable[Jumlah (Rp)],AugTable[Tipe],"Pengeluaran",AugTable[Kategori],AJ14)</f>
        <v>0</v>
      </c>
      <c r="AM14" s="33">
        <f t="shared" si="0"/>
        <v>1.4E-5</v>
      </c>
      <c r="AN14" s="33"/>
      <c r="AO14" s="33"/>
    </row>
    <row r="15" spans="1:41" ht="24.75" customHeight="1" x14ac:dyDescent="0.25">
      <c r="A15" s="5"/>
      <c r="B15" s="3"/>
      <c r="C15" s="3"/>
      <c r="D15" s="3"/>
      <c r="E15" s="6"/>
      <c r="F15" s="4"/>
      <c r="H15" s="10" t="s">
        <v>123</v>
      </c>
      <c r="I15" s="7">
        <v>320000</v>
      </c>
      <c r="K15" s="54" t="s">
        <v>77</v>
      </c>
      <c r="L15" s="53"/>
      <c r="M15" s="37">
        <f>D2</f>
        <v>0</v>
      </c>
      <c r="N15" s="33"/>
      <c r="O15" s="33"/>
      <c r="P15" s="33"/>
      <c r="Q15" s="33"/>
      <c r="R15" s="35" t="s">
        <v>97</v>
      </c>
      <c r="S15" s="37">
        <f>IFERROR(S13/S14,0)</f>
        <v>0</v>
      </c>
      <c r="T15" s="37">
        <f>IFERROR(T13/T14,0)</f>
        <v>200000</v>
      </c>
      <c r="U15" s="37">
        <f>T15-S15</f>
        <v>200000</v>
      </c>
      <c r="V15" s="48" t="str">
        <f>IFERROR(U15/S15,"")</f>
        <v/>
      </c>
      <c r="AD15" s="33"/>
      <c r="AE15" s="33"/>
      <c r="AF15" s="33">
        <v>14</v>
      </c>
      <c r="AG15" s="33">
        <f t="shared" si="1"/>
        <v>46279</v>
      </c>
      <c r="AH15" s="33">
        <f ca="1">IF(OR(AF15&gt;$AD$4,AF15&gt;$AD$3),NA(),SUMIFS(SepTable[Jumlah (Rp)],SepTable[Tipe],"Pengeluaran",SepTable[Tanggal],"&lt;="&amp;AG15))</f>
        <v>320000</v>
      </c>
      <c r="AI15" s="33">
        <f>IF(AF15&gt;$AD$4,NA(),Rekap!$B$19/$AD$4*AF15)</f>
        <v>110716.66666666666</v>
      </c>
      <c r="AJ15" s="33" t="str">
        <f>Master!$A$19</f>
        <v>Kategori Uji 15</v>
      </c>
      <c r="AK15" s="33">
        <f>SUMIFS(SepTable[Jumlah (Rp)],SepTable[Tipe],"Pengeluaran",SepTable[Kategori],AJ15)</f>
        <v>0</v>
      </c>
      <c r="AL15" s="33">
        <f>SUMIFS(AugTable[Jumlah (Rp)],AugTable[Tipe],"Pengeluaran",AugTable[Kategori],AJ15)</f>
        <v>0</v>
      </c>
      <c r="AM15" s="33">
        <f t="shared" si="0"/>
        <v>1.5E-5</v>
      </c>
      <c r="AN15" s="33"/>
      <c r="AO15" s="33"/>
    </row>
    <row r="16" spans="1:41" ht="24.75" customHeight="1" x14ac:dyDescent="0.25">
      <c r="A16" s="5"/>
      <c r="B16" s="3"/>
      <c r="C16" s="3"/>
      <c r="D16" s="3"/>
      <c r="E16" s="6"/>
      <c r="F16" s="4"/>
      <c r="H16" s="10" t="s">
        <v>120</v>
      </c>
      <c r="I16" s="7">
        <v>80000</v>
      </c>
      <c r="K16" s="54" t="s">
        <v>57</v>
      </c>
      <c r="L16" s="53"/>
      <c r="M16" s="37">
        <f ca="1">O6</f>
        <v>6000000</v>
      </c>
      <c r="N16" s="33"/>
      <c r="O16" s="33"/>
      <c r="P16" s="33"/>
      <c r="Q16" s="33"/>
      <c r="R16" s="33"/>
      <c r="S16" s="33"/>
      <c r="T16" s="33"/>
      <c r="U16" s="33"/>
      <c r="V16" s="33"/>
      <c r="AD16" s="33"/>
      <c r="AE16" s="33"/>
      <c r="AF16" s="33">
        <v>15</v>
      </c>
      <c r="AG16" s="33">
        <f t="shared" si="1"/>
        <v>46280</v>
      </c>
      <c r="AH16" s="33">
        <f ca="1">IF(OR(AF16&gt;$AD$4,AF16&gt;$AD$3),NA(),SUMIFS(SepTable[Jumlah (Rp)],SepTable[Tipe],"Pengeluaran",SepTable[Tanggal],"&lt;="&amp;AG16))</f>
        <v>400000</v>
      </c>
      <c r="AI16" s="33">
        <f>IF(AF16&gt;$AD$4,NA(),Rekap!$B$19/$AD$4*AF16)</f>
        <v>118625</v>
      </c>
      <c r="AJ16" s="33" t="str">
        <f>Master!$A$20</f>
        <v>Kategori Uji 16</v>
      </c>
      <c r="AK16" s="33">
        <f>SUMIFS(SepTable[Jumlah (Rp)],SepTable[Tipe],"Pengeluaran",SepTable[Kategori],AJ16)</f>
        <v>0</v>
      </c>
      <c r="AL16" s="33">
        <f>SUMIFS(AugTable[Jumlah (Rp)],AugTable[Tipe],"Pengeluaran",AugTable[Kategori],AJ16)</f>
        <v>0</v>
      </c>
      <c r="AM16" s="33">
        <f t="shared" si="0"/>
        <v>1.5999999999999999E-5</v>
      </c>
      <c r="AN16" s="33"/>
      <c r="AO16" s="33"/>
    </row>
    <row r="17" spans="1:41" ht="24.75" customHeight="1" x14ac:dyDescent="0.25">
      <c r="A17" s="5"/>
      <c r="B17" s="3"/>
      <c r="C17" s="3"/>
      <c r="D17" s="3"/>
      <c r="E17" s="6"/>
      <c r="F17" s="4"/>
      <c r="H17" s="10" t="s">
        <v>92</v>
      </c>
      <c r="I17" s="7">
        <v>400000</v>
      </c>
      <c r="K17" s="54" t="s">
        <v>78</v>
      </c>
      <c r="L17" s="53"/>
      <c r="M17" s="37">
        <f ca="1">M15+M16</f>
        <v>6000000</v>
      </c>
      <c r="N17" s="33"/>
      <c r="O17" s="33"/>
      <c r="P17" s="33"/>
      <c r="Q17" s="33"/>
      <c r="R17" s="43" t="s">
        <v>98</v>
      </c>
      <c r="S17" s="33"/>
      <c r="T17" s="33"/>
      <c r="U17" s="33"/>
      <c r="V17" s="33"/>
      <c r="AD17" s="33"/>
      <c r="AE17" s="33"/>
      <c r="AF17" s="33">
        <v>16</v>
      </c>
      <c r="AG17" s="33">
        <f t="shared" si="1"/>
        <v>46281</v>
      </c>
      <c r="AH17" s="33">
        <f ca="1">IF(OR(AF17&gt;$AD$4,AF17&gt;$AD$3),NA(),SUMIFS(SepTable[Jumlah (Rp)],SepTable[Tipe],"Pengeluaran",SepTable[Tanggal],"&lt;="&amp;AG17))</f>
        <v>400000</v>
      </c>
      <c r="AI17" s="33">
        <f>IF(AF17&gt;$AD$4,NA(),Rekap!$B$19/$AD$4*AF17)</f>
        <v>126533.33333333333</v>
      </c>
      <c r="AJ17" s="33" t="str">
        <f>Master!$A$21</f>
        <v>Kategori Uji 17</v>
      </c>
      <c r="AK17" s="33">
        <f>SUMIFS(SepTable[Jumlah (Rp)],SepTable[Tipe],"Pengeluaran",SepTable[Kategori],AJ17)</f>
        <v>0</v>
      </c>
      <c r="AL17" s="33">
        <f>SUMIFS(AugTable[Jumlah (Rp)],AugTable[Tipe],"Pengeluaran",AugTable[Kategori],AJ17)</f>
        <v>0</v>
      </c>
      <c r="AM17" s="33">
        <f t="shared" si="0"/>
        <v>1.7E-5</v>
      </c>
      <c r="AN17" s="33"/>
      <c r="AO17" s="33"/>
    </row>
    <row r="18" spans="1:41" ht="24.75" customHeight="1" x14ac:dyDescent="0.25">
      <c r="A18" s="5"/>
      <c r="B18" s="3"/>
      <c r="C18" s="3"/>
      <c r="D18" s="3"/>
      <c r="E18" s="6"/>
      <c r="F18" s="4"/>
      <c r="K18" s="54" t="s">
        <v>79</v>
      </c>
      <c r="L18" s="53"/>
      <c r="M18" s="37">
        <f ca="1">M29</f>
        <v>631578.94736842113</v>
      </c>
      <c r="N18" s="33"/>
      <c r="O18" s="33"/>
      <c r="P18" s="33"/>
      <c r="Q18" s="33"/>
      <c r="R18" s="34" t="s">
        <v>25</v>
      </c>
      <c r="S18" s="34" t="s">
        <v>102</v>
      </c>
      <c r="T18" s="34" t="s">
        <v>33</v>
      </c>
      <c r="U18" s="34" t="s">
        <v>5</v>
      </c>
      <c r="V18" s="34" t="s">
        <v>95</v>
      </c>
      <c r="AD18" s="33"/>
      <c r="AE18" s="33"/>
      <c r="AF18" s="33">
        <v>17</v>
      </c>
      <c r="AG18" s="33">
        <f t="shared" si="1"/>
        <v>46282</v>
      </c>
      <c r="AH18" s="33">
        <f ca="1">IF(OR(AF18&gt;$AD$4,AF18&gt;$AD$3),NA(),SUMIFS(SepTable[Jumlah (Rp)],SepTable[Tipe],"Pengeluaran",SepTable[Tanggal],"&lt;="&amp;AG18))</f>
        <v>400000</v>
      </c>
      <c r="AI18" s="33">
        <f>IF(AF18&gt;$AD$4,NA(),Rekap!$B$19/$AD$4*AF18)</f>
        <v>134441.66666666666</v>
      </c>
      <c r="AJ18" s="33" t="str">
        <f>Master!$A$22</f>
        <v>Kategori Uji 18</v>
      </c>
      <c r="AK18" s="33">
        <f>SUMIFS(SepTable[Jumlah (Rp)],SepTable[Tipe],"Pengeluaran",SepTable[Kategori],AJ18)</f>
        <v>0</v>
      </c>
      <c r="AL18" s="33">
        <f>SUMIFS(AugTable[Jumlah (Rp)],AugTable[Tipe],"Pengeluaran",AugTable[Kategori],AJ18)</f>
        <v>0</v>
      </c>
      <c r="AM18" s="33">
        <f t="shared" si="0"/>
        <v>1.8E-5</v>
      </c>
      <c r="AN18" s="33"/>
      <c r="AO18" s="33"/>
    </row>
    <row r="19" spans="1:41" ht="24.75" customHeight="1" x14ac:dyDescent="0.25">
      <c r="A19" s="5"/>
      <c r="B19" s="3"/>
      <c r="C19" s="3"/>
      <c r="D19" s="3"/>
      <c r="E19" s="6"/>
      <c r="F19" s="4"/>
      <c r="K19" s="52" t="s">
        <v>80</v>
      </c>
      <c r="L19" s="53"/>
      <c r="M19" s="42">
        <f ca="1">M17-M18</f>
        <v>5368421.0526315793</v>
      </c>
      <c r="N19" s="33"/>
      <c r="O19" s="33"/>
      <c r="P19" s="33"/>
      <c r="Q19" s="33"/>
      <c r="R19" s="35" t="str">
        <f>IF($AO$1=0,"",INDEX($AJ$1:$AJ$23,$AO$1))</f>
        <v>Kategori Uji 04</v>
      </c>
      <c r="S19" s="37">
        <f>IF($AO$1=0,"",INDEX($AL$1:$AL$23,$AO$1))</f>
        <v>0</v>
      </c>
      <c r="T19" s="37">
        <f>IF($AO$1=0,"",INDEX($AK$1:$AK$23,$AO$1))</f>
        <v>320000</v>
      </c>
      <c r="U19" s="37">
        <f>IF($R19="","",T19-S19)</f>
        <v>320000</v>
      </c>
      <c r="V19" s="48" t="str">
        <f>IFERROR(U19/S19,"")</f>
        <v/>
      </c>
      <c r="AD19" s="33"/>
      <c r="AE19" s="33"/>
      <c r="AF19" s="33">
        <v>18</v>
      </c>
      <c r="AG19" s="33">
        <f t="shared" si="1"/>
        <v>46283</v>
      </c>
      <c r="AH19" s="33">
        <f ca="1">IF(OR(AF19&gt;$AD$4,AF19&gt;$AD$3),NA(),SUMIFS(SepTable[Jumlah (Rp)],SepTable[Tipe],"Pengeluaran",SepTable[Tanggal],"&lt;="&amp;AG19))</f>
        <v>400000</v>
      </c>
      <c r="AI19" s="33">
        <f>IF(AF19&gt;$AD$4,NA(),Rekap!$B$19/$AD$4*AF19)</f>
        <v>142350</v>
      </c>
      <c r="AJ19" s="33" t="str">
        <f>Master!$A$23</f>
        <v>Kategori Uji 19</v>
      </c>
      <c r="AK19" s="33">
        <f>SUMIFS(SepTable[Jumlah (Rp)],SepTable[Tipe],"Pengeluaran",SepTable[Kategori],AJ19)</f>
        <v>0</v>
      </c>
      <c r="AL19" s="33">
        <f>SUMIFS(AugTable[Jumlah (Rp)],AugTable[Tipe],"Pengeluaran",AugTable[Kategori],AJ19)</f>
        <v>0</v>
      </c>
      <c r="AM19" s="33">
        <f t="shared" si="0"/>
        <v>1.9000000000000001E-5</v>
      </c>
      <c r="AN19" s="33"/>
      <c r="AO19" s="33"/>
    </row>
    <row r="20" spans="1:41" ht="24.75" customHeight="1" x14ac:dyDescent="0.25">
      <c r="A20" s="5"/>
      <c r="B20" s="3"/>
      <c r="C20" s="3"/>
      <c r="D20" s="3"/>
      <c r="E20" s="6"/>
      <c r="F20" s="4"/>
      <c r="K20" s="52" t="s">
        <v>81</v>
      </c>
      <c r="L20" s="53"/>
      <c r="M20" s="42">
        <f ca="1">D1+M17-M18</f>
        <v>7368421.0526315793</v>
      </c>
      <c r="N20" s="33"/>
      <c r="O20" s="33"/>
      <c r="P20" s="33"/>
      <c r="Q20" s="33"/>
      <c r="R20" s="35" t="str">
        <f>IF($AO$2=0,"",INDEX($AJ$1:$AJ$23,$AO$2))</f>
        <v>Kategori Uji 01</v>
      </c>
      <c r="S20" s="37">
        <f>IF($AO$2=0,"",INDEX($AL$1:$AL$23,$AO$2))</f>
        <v>0</v>
      </c>
      <c r="T20" s="37">
        <f>IF($AO$2=0,"",INDEX($AK$1:$AK$23,$AO$2))</f>
        <v>80000</v>
      </c>
      <c r="U20" s="37">
        <f>IF($R20="","",T20-S20)</f>
        <v>80000</v>
      </c>
      <c r="V20" s="48" t="str">
        <f>IFERROR(U20/S20,"")</f>
        <v/>
      </c>
      <c r="AD20" s="33"/>
      <c r="AE20" s="33"/>
      <c r="AF20" s="33">
        <v>19</v>
      </c>
      <c r="AG20" s="33">
        <f t="shared" si="1"/>
        <v>46284</v>
      </c>
      <c r="AH20" s="33">
        <f ca="1">IF(OR(AF20&gt;$AD$4,AF20&gt;$AD$3),NA(),SUMIFS(SepTable[Jumlah (Rp)],SepTable[Tipe],"Pengeluaran",SepTable[Tanggal],"&lt;="&amp;AG20))</f>
        <v>400000</v>
      </c>
      <c r="AI20" s="33">
        <f>IF(AF20&gt;$AD$4,NA(),Rekap!$B$19/$AD$4*AF20)</f>
        <v>150258.33333333331</v>
      </c>
      <c r="AJ20" s="33" t="str">
        <f>Master!$A$24</f>
        <v>Kategori Uji 20</v>
      </c>
      <c r="AK20" s="33">
        <f>SUMIFS(SepTable[Jumlah (Rp)],SepTable[Tipe],"Pengeluaran",SepTable[Kategori],AJ20)</f>
        <v>0</v>
      </c>
      <c r="AL20" s="33">
        <f>SUMIFS(AugTable[Jumlah (Rp)],AugTable[Tipe],"Pengeluaran",AugTable[Kategori],AJ20)</f>
        <v>0</v>
      </c>
      <c r="AM20" s="33">
        <f t="shared" si="0"/>
        <v>2.0000000000000002E-5</v>
      </c>
      <c r="AN20" s="33"/>
      <c r="AO20" s="33"/>
    </row>
    <row r="21" spans="1:41" ht="24.75" customHeight="1" x14ac:dyDescent="0.25">
      <c r="A21" s="5"/>
      <c r="B21" s="3"/>
      <c r="C21" s="3"/>
      <c r="D21" s="3"/>
      <c r="E21" s="6"/>
      <c r="F21" s="4"/>
      <c r="K21" s="46" t="s">
        <v>82</v>
      </c>
      <c r="L21" s="33"/>
      <c r="M21" s="33"/>
      <c r="N21" s="33"/>
      <c r="O21" s="33"/>
      <c r="P21" s="33"/>
      <c r="Q21" s="33"/>
      <c r="R21" s="35" t="str">
        <f>IF($AO$3=0,"",INDEX($AJ$1:$AJ$23,$AO$3))</f>
        <v>Kategori Uji 24</v>
      </c>
      <c r="S21" s="37">
        <f>IF($AO$3=0,"",INDEX($AL$1:$AL$23,$AO$3))</f>
        <v>0</v>
      </c>
      <c r="T21" s="37">
        <f>IF($AO$3=0,"",INDEX($AK$1:$AK$23,$AO$3))</f>
        <v>0</v>
      </c>
      <c r="U21" s="37">
        <f>IF($R21="","",T21-S21)</f>
        <v>0</v>
      </c>
      <c r="V21" s="48" t="str">
        <f>IFERROR(U21/S21,"")</f>
        <v/>
      </c>
      <c r="AD21" s="33"/>
      <c r="AE21" s="33"/>
      <c r="AF21" s="33">
        <v>20</v>
      </c>
      <c r="AG21" s="33">
        <f t="shared" si="1"/>
        <v>46285</v>
      </c>
      <c r="AH21" s="33" t="e">
        <f ca="1">IF(OR(AF21&gt;$AD$4,AF21&gt;$AD$3),NA(),SUMIFS(SepTable[Jumlah (Rp)],SepTable[Tipe],"Pengeluaran",SepTable[Tanggal],"&lt;="&amp;AG21))</f>
        <v>#N/A</v>
      </c>
      <c r="AI21" s="33">
        <f>IF(AF21&gt;$AD$4,NA(),Rekap!$B$19/$AD$4*AF21)</f>
        <v>158166.66666666666</v>
      </c>
      <c r="AJ21" s="33" t="str">
        <f>Master!$A$25</f>
        <v>Kategori Uji 21</v>
      </c>
      <c r="AK21" s="33">
        <f>SUMIFS(SepTable[Jumlah (Rp)],SepTable[Tipe],"Pengeluaran",SepTable[Kategori],AJ21)</f>
        <v>0</v>
      </c>
      <c r="AL21" s="33">
        <f>SUMIFS(AugTable[Jumlah (Rp)],AugTable[Tipe],"Pengeluaran",AugTable[Kategori],AJ21)</f>
        <v>0</v>
      </c>
      <c r="AM21" s="33">
        <f t="shared" si="0"/>
        <v>2.0999999999999999E-5</v>
      </c>
      <c r="AN21" s="33"/>
      <c r="AO21" s="33"/>
    </row>
    <row r="22" spans="1:41" ht="24.75" customHeight="1" x14ac:dyDescent="0.25">
      <c r="A22" s="5"/>
      <c r="B22" s="3"/>
      <c r="C22" s="3"/>
      <c r="D22" s="3"/>
      <c r="E22" s="6"/>
      <c r="F22" s="4"/>
      <c r="K22" s="33"/>
      <c r="L22" s="33"/>
      <c r="M22" s="33"/>
      <c r="N22" s="33"/>
      <c r="O22" s="33"/>
      <c r="P22" s="33"/>
      <c r="Q22" s="33"/>
      <c r="R22" s="35" t="str">
        <f>IF($AO$4=0,"",INDEX($AJ$1:$AJ$23,$AO$4))</f>
        <v>Kategori Uji 23</v>
      </c>
      <c r="S22" s="37">
        <f>IF($AO$4=0,"",INDEX($AL$1:$AL$23,$AO$4))</f>
        <v>0</v>
      </c>
      <c r="T22" s="37">
        <f>IF($AO$4=0,"",INDEX($AK$1:$AK$23,$AO$4))</f>
        <v>0</v>
      </c>
      <c r="U22" s="37">
        <f>IF($R22="","",T22-S22)</f>
        <v>0</v>
      </c>
      <c r="V22" s="48" t="str">
        <f>IFERROR(U22/S22,"")</f>
        <v/>
      </c>
      <c r="AD22" s="33"/>
      <c r="AE22" s="33"/>
      <c r="AF22" s="33">
        <v>21</v>
      </c>
      <c r="AG22" s="33">
        <f t="shared" si="1"/>
        <v>46286</v>
      </c>
      <c r="AH22" s="33" t="e">
        <f ca="1">IF(OR(AF22&gt;$AD$4,AF22&gt;$AD$3),NA(),SUMIFS(SepTable[Jumlah (Rp)],SepTable[Tipe],"Pengeluaran",SepTable[Tanggal],"&lt;="&amp;AG22))</f>
        <v>#N/A</v>
      </c>
      <c r="AI22" s="33">
        <f>IF(AF22&gt;$AD$4,NA(),Rekap!$B$19/$AD$4*AF22)</f>
        <v>166075</v>
      </c>
      <c r="AJ22" s="33" t="str">
        <f>Master!$A$27</f>
        <v>Kategori Uji 23</v>
      </c>
      <c r="AK22" s="33">
        <f>SUMIFS(SepTable[Jumlah (Rp)],SepTable[Tipe],"Pengeluaran",SepTable[Kategori],AJ22)</f>
        <v>0</v>
      </c>
      <c r="AL22" s="33">
        <f>SUMIFS(AugTable[Jumlah (Rp)],AugTable[Tipe],"Pengeluaran",AugTable[Kategori],AJ22)</f>
        <v>0</v>
      </c>
      <c r="AM22" s="33">
        <f t="shared" si="0"/>
        <v>2.1999999999999999E-5</v>
      </c>
      <c r="AN22" s="33"/>
      <c r="AO22" s="33"/>
    </row>
    <row r="23" spans="1:41" ht="24.75" customHeight="1" x14ac:dyDescent="0.25">
      <c r="A23" s="5"/>
      <c r="B23" s="3"/>
      <c r="C23" s="3"/>
      <c r="D23" s="3"/>
      <c r="E23" s="6"/>
      <c r="F23" s="4"/>
      <c r="K23" s="32" t="s">
        <v>83</v>
      </c>
      <c r="L23" s="33"/>
      <c r="M23" s="33"/>
      <c r="N23" s="33"/>
      <c r="O23" s="33"/>
      <c r="P23" s="33"/>
      <c r="Q23" s="33"/>
      <c r="R23" s="35" t="str">
        <f>IF($AO$5=0,"",INDEX($AJ$1:$AJ$23,$AO$5))</f>
        <v>Kategori Uji 21</v>
      </c>
      <c r="S23" s="37">
        <f>IF($AO$5=0,"",INDEX($AL$1:$AL$23,$AO$5))</f>
        <v>0</v>
      </c>
      <c r="T23" s="37">
        <f>IF($AO$5=0,"",INDEX($AK$1:$AK$23,$AO$5))</f>
        <v>0</v>
      </c>
      <c r="U23" s="37">
        <f>IF($R23="","",T23-S23)</f>
        <v>0</v>
      </c>
      <c r="V23" s="48" t="str">
        <f>IFERROR(U23/S23,"")</f>
        <v/>
      </c>
      <c r="AD23" s="33"/>
      <c r="AE23" s="33"/>
      <c r="AF23" s="33">
        <v>22</v>
      </c>
      <c r="AG23" s="33">
        <f t="shared" si="1"/>
        <v>46287</v>
      </c>
      <c r="AH23" s="33" t="e">
        <f ca="1">IF(OR(AF23&gt;$AD$4,AF23&gt;$AD$3),NA(),SUMIFS(SepTable[Jumlah (Rp)],SepTable[Tipe],"Pengeluaran",SepTable[Tanggal],"&lt;="&amp;AG23))</f>
        <v>#N/A</v>
      </c>
      <c r="AI23" s="33">
        <f>IF(AF23&gt;$AD$4,NA(),Rekap!$B$19/$AD$4*AF23)</f>
        <v>173983.33333333331</v>
      </c>
      <c r="AJ23" s="33" t="str">
        <f>Master!$A$28</f>
        <v>Kategori Uji 24</v>
      </c>
      <c r="AK23" s="33">
        <f>SUMIFS(SepTable[Jumlah (Rp)],SepTable[Tipe],"Pengeluaran",SepTable[Kategori],AJ23)</f>
        <v>0</v>
      </c>
      <c r="AL23" s="33">
        <f>SUMIFS(AugTable[Jumlah (Rp)],AugTable[Tipe],"Pengeluaran",AugTable[Kategori],AJ23)</f>
        <v>0</v>
      </c>
      <c r="AM23" s="33">
        <f t="shared" si="0"/>
        <v>2.3E-5</v>
      </c>
      <c r="AN23" s="33"/>
      <c r="AO23" s="33"/>
    </row>
    <row r="24" spans="1:41" ht="24.75" customHeight="1" x14ac:dyDescent="0.25">
      <c r="A24" s="5"/>
      <c r="B24" s="3"/>
      <c r="C24" s="3"/>
      <c r="D24" s="3"/>
      <c r="E24" s="6"/>
      <c r="F24" s="4"/>
      <c r="K24" s="56" t="s">
        <v>84</v>
      </c>
      <c r="L24" s="53"/>
      <c r="M24" s="34" t="s">
        <v>70</v>
      </c>
      <c r="N24" s="33"/>
      <c r="O24" s="33"/>
      <c r="P24" s="33"/>
      <c r="Q24" s="33"/>
      <c r="R24" s="33"/>
      <c r="S24" s="33"/>
      <c r="T24" s="33"/>
      <c r="U24" s="33"/>
      <c r="V24" s="33"/>
      <c r="AD24" s="33"/>
      <c r="AE24" s="33"/>
      <c r="AF24" s="33">
        <v>23</v>
      </c>
      <c r="AG24" s="33">
        <f t="shared" si="1"/>
        <v>46288</v>
      </c>
      <c r="AH24" s="33" t="e">
        <f ca="1">IF(OR(AF24&gt;$AD$4,AF24&gt;$AD$3),NA(),SUMIFS(SepTable[Jumlah (Rp)],SepTable[Tipe],"Pengeluaran",SepTable[Tanggal],"&lt;="&amp;AG24))</f>
        <v>#N/A</v>
      </c>
      <c r="AI24" s="33">
        <f>IF(AF24&gt;$AD$4,NA(),Rekap!$B$19/$AD$4*AF24)</f>
        <v>181891.66666666666</v>
      </c>
      <c r="AJ24" s="33"/>
      <c r="AK24" s="33"/>
      <c r="AL24" s="33"/>
      <c r="AM24" s="33"/>
      <c r="AN24" s="33"/>
      <c r="AO24" s="33"/>
    </row>
    <row r="25" spans="1:41" ht="24.75" customHeight="1" x14ac:dyDescent="0.25">
      <c r="A25" s="5"/>
      <c r="B25" s="3"/>
      <c r="C25" s="3"/>
      <c r="D25" s="3"/>
      <c r="E25" s="6"/>
      <c r="F25" s="4"/>
      <c r="K25" s="54" t="s">
        <v>85</v>
      </c>
      <c r="L25" s="53"/>
      <c r="M25" s="47">
        <f ca="1">AD3</f>
        <v>19</v>
      </c>
      <c r="N25" s="33"/>
      <c r="O25" s="33"/>
      <c r="P25" s="33"/>
      <c r="Q25" s="33"/>
      <c r="R25" s="32" t="s">
        <v>86</v>
      </c>
      <c r="S25" s="33"/>
      <c r="T25" s="33"/>
      <c r="U25" s="33"/>
      <c r="V25" s="33"/>
      <c r="AD25" s="33"/>
      <c r="AE25" s="33"/>
      <c r="AF25" s="33">
        <v>24</v>
      </c>
      <c r="AG25" s="33">
        <f t="shared" si="1"/>
        <v>46289</v>
      </c>
      <c r="AH25" s="33" t="e">
        <f ca="1">IF(OR(AF25&gt;$AD$4,AF25&gt;$AD$3),NA(),SUMIFS(SepTable[Jumlah (Rp)],SepTable[Tipe],"Pengeluaran",SepTable[Tanggal],"&lt;="&amp;AG25))</f>
        <v>#N/A</v>
      </c>
      <c r="AI25" s="33">
        <f>IF(AF25&gt;$AD$4,NA(),Rekap!$B$19/$AD$4*AF25)</f>
        <v>189800</v>
      </c>
      <c r="AJ25" s="33"/>
      <c r="AK25" s="33"/>
      <c r="AL25" s="33"/>
      <c r="AM25" s="33"/>
      <c r="AN25" s="33"/>
      <c r="AO25" s="33"/>
    </row>
    <row r="26" spans="1:41" ht="24.75" customHeight="1" x14ac:dyDescent="0.25">
      <c r="A26" s="5"/>
      <c r="B26" s="3"/>
      <c r="C26" s="3"/>
      <c r="D26" s="3"/>
      <c r="E26" s="6"/>
      <c r="F26" s="4"/>
      <c r="K26" s="54" t="s">
        <v>87</v>
      </c>
      <c r="L26" s="53"/>
      <c r="M26" s="47">
        <f>AD4</f>
        <v>30</v>
      </c>
      <c r="N26" s="33"/>
      <c r="O26" s="33"/>
      <c r="P26" s="33"/>
      <c r="Q26" s="33"/>
      <c r="R26" s="33"/>
      <c r="S26" s="33"/>
      <c r="T26" s="33"/>
      <c r="U26" s="33"/>
      <c r="V26" s="33"/>
      <c r="AD26" s="33"/>
      <c r="AE26" s="33"/>
      <c r="AF26" s="33">
        <v>25</v>
      </c>
      <c r="AG26" s="33">
        <f t="shared" si="1"/>
        <v>46290</v>
      </c>
      <c r="AH26" s="33" t="e">
        <f ca="1">IF(OR(AF26&gt;$AD$4,AF26&gt;$AD$3),NA(),SUMIFS(SepTable[Jumlah (Rp)],SepTable[Tipe],"Pengeluaran",SepTable[Tanggal],"&lt;="&amp;AG26))</f>
        <v>#N/A</v>
      </c>
      <c r="AI26" s="33">
        <f>IF(AF26&gt;$AD$4,NA(),Rekap!$B$19/$AD$4*AF26)</f>
        <v>197708.33333333331</v>
      </c>
      <c r="AJ26" s="33"/>
      <c r="AK26" s="33"/>
      <c r="AL26" s="33"/>
      <c r="AM26" s="33"/>
      <c r="AN26" s="33"/>
      <c r="AO26" s="33"/>
    </row>
    <row r="27" spans="1:41" ht="24.75" customHeight="1" x14ac:dyDescent="0.25">
      <c r="A27" s="5"/>
      <c r="B27" s="3"/>
      <c r="C27" s="3"/>
      <c r="D27" s="3"/>
      <c r="E27" s="6"/>
      <c r="F27" s="4"/>
      <c r="K27" s="54" t="s">
        <v>88</v>
      </c>
      <c r="L27" s="53"/>
      <c r="M27" s="37">
        <f>D3</f>
        <v>400000</v>
      </c>
      <c r="N27" s="33"/>
      <c r="O27" s="33"/>
      <c r="P27" s="33"/>
      <c r="Q27" s="33"/>
      <c r="R27" s="33"/>
      <c r="S27" s="33"/>
      <c r="T27" s="33"/>
      <c r="U27" s="33"/>
      <c r="V27" s="33"/>
      <c r="AD27" s="33"/>
      <c r="AE27" s="33"/>
      <c r="AF27" s="33">
        <v>26</v>
      </c>
      <c r="AG27" s="33">
        <f t="shared" si="1"/>
        <v>46291</v>
      </c>
      <c r="AH27" s="33" t="e">
        <f ca="1">IF(OR(AF27&gt;$AD$4,AF27&gt;$AD$3),NA(),SUMIFS(SepTable[Jumlah (Rp)],SepTable[Tipe],"Pengeluaran",SepTable[Tanggal],"&lt;="&amp;AG27))</f>
        <v>#N/A</v>
      </c>
      <c r="AI27" s="33">
        <f>IF(AF27&gt;$AD$4,NA(),Rekap!$B$19/$AD$4*AF27)</f>
        <v>205616.66666666666</v>
      </c>
      <c r="AJ27" s="33"/>
      <c r="AK27" s="33"/>
      <c r="AL27" s="33"/>
      <c r="AM27" s="33"/>
      <c r="AN27" s="33"/>
      <c r="AO27" s="33"/>
    </row>
    <row r="28" spans="1:41" ht="24.75" customHeight="1" x14ac:dyDescent="0.25">
      <c r="A28" s="5"/>
      <c r="B28" s="3"/>
      <c r="C28" s="3"/>
      <c r="D28" s="3"/>
      <c r="E28" s="6"/>
      <c r="F28" s="4"/>
      <c r="K28" s="54" t="s">
        <v>89</v>
      </c>
      <c r="L28" s="53"/>
      <c r="M28" s="37">
        <f ca="1">IFERROR(M27/M25,0)</f>
        <v>21052.63157894737</v>
      </c>
      <c r="N28" s="33"/>
      <c r="O28" s="33"/>
      <c r="P28" s="33"/>
      <c r="Q28" s="33"/>
      <c r="R28" s="33"/>
      <c r="S28" s="33"/>
      <c r="T28" s="33"/>
      <c r="U28" s="33"/>
      <c r="V28" s="33"/>
      <c r="AD28" s="33"/>
      <c r="AE28" s="33"/>
      <c r="AF28" s="33">
        <v>27</v>
      </c>
      <c r="AG28" s="33">
        <f t="shared" si="1"/>
        <v>46292</v>
      </c>
      <c r="AH28" s="33" t="e">
        <f ca="1">IF(OR(AF28&gt;$AD$4,AF28&gt;$AD$3),NA(),SUMIFS(SepTable[Jumlah (Rp)],SepTable[Tipe],"Pengeluaran",SepTable[Tanggal],"&lt;="&amp;AG28))</f>
        <v>#N/A</v>
      </c>
      <c r="AI28" s="33">
        <f>IF(AF28&gt;$AD$4,NA(),Rekap!$B$19/$AD$4*AF28)</f>
        <v>213525</v>
      </c>
      <c r="AJ28" s="33"/>
      <c r="AK28" s="33"/>
      <c r="AL28" s="33"/>
      <c r="AM28" s="33"/>
      <c r="AN28" s="33"/>
      <c r="AO28" s="33"/>
    </row>
    <row r="29" spans="1:41" ht="24.75" customHeight="1" x14ac:dyDescent="0.25">
      <c r="A29" s="5"/>
      <c r="B29" s="3"/>
      <c r="C29" s="3"/>
      <c r="D29" s="3"/>
      <c r="E29" s="6"/>
      <c r="F29" s="4"/>
      <c r="K29" s="52" t="s">
        <v>90</v>
      </c>
      <c r="L29" s="53"/>
      <c r="M29" s="42">
        <f ca="1">M28*M26</f>
        <v>631578.94736842113</v>
      </c>
      <c r="N29" s="33"/>
      <c r="O29" s="33"/>
      <c r="P29" s="33"/>
      <c r="Q29" s="33"/>
      <c r="R29" s="33"/>
      <c r="S29" s="33"/>
      <c r="T29" s="33"/>
      <c r="U29" s="33"/>
      <c r="V29" s="33"/>
      <c r="AD29" s="33"/>
      <c r="AE29" s="33"/>
      <c r="AF29" s="33">
        <v>28</v>
      </c>
      <c r="AG29" s="33">
        <f t="shared" si="1"/>
        <v>46293</v>
      </c>
      <c r="AH29" s="33" t="e">
        <f ca="1">IF(OR(AF29&gt;$AD$4,AF29&gt;$AD$3),NA(),SUMIFS(SepTable[Jumlah (Rp)],SepTable[Tipe],"Pengeluaran",SepTable[Tanggal],"&lt;="&amp;AG29))</f>
        <v>#N/A</v>
      </c>
      <c r="AI29" s="33">
        <f>IF(AF29&gt;$AD$4,NA(),Rekap!$B$19/$AD$4*AF29)</f>
        <v>221433.33333333331</v>
      </c>
      <c r="AJ29" s="33"/>
      <c r="AK29" s="33"/>
      <c r="AL29" s="33"/>
      <c r="AM29" s="33"/>
      <c r="AN29" s="33"/>
      <c r="AO29" s="33"/>
    </row>
    <row r="30" spans="1:41" ht="24.75" customHeight="1" x14ac:dyDescent="0.25">
      <c r="A30" s="5"/>
      <c r="B30" s="3"/>
      <c r="C30" s="3"/>
      <c r="D30" s="3"/>
      <c r="E30" s="6"/>
      <c r="F30" s="4"/>
      <c r="K30" s="54" t="s">
        <v>91</v>
      </c>
      <c r="L30" s="53"/>
      <c r="M30" s="37">
        <f>Rekap!$B$19</f>
        <v>237250</v>
      </c>
      <c r="N30" s="33"/>
      <c r="O30" s="33"/>
      <c r="P30" s="33"/>
      <c r="Q30" s="33"/>
      <c r="R30" s="33"/>
      <c r="S30" s="33"/>
      <c r="T30" s="33"/>
      <c r="U30" s="33"/>
      <c r="V30" s="33"/>
      <c r="AD30" s="33"/>
      <c r="AE30" s="33"/>
      <c r="AF30" s="33">
        <v>29</v>
      </c>
      <c r="AG30" s="33">
        <f t="shared" si="1"/>
        <v>46294</v>
      </c>
      <c r="AH30" s="33" t="e">
        <f ca="1">IF(OR(AF30&gt;$AD$4,AF30&gt;$AD$3),NA(),SUMIFS(SepTable[Jumlah (Rp)],SepTable[Tipe],"Pengeluaran",SepTable[Tanggal],"&lt;="&amp;AG30))</f>
        <v>#N/A</v>
      </c>
      <c r="AI30" s="33">
        <f>IF(AF30&gt;$AD$4,NA(),Rekap!$B$19/$AD$4*AF30)</f>
        <v>229341.66666666666</v>
      </c>
      <c r="AJ30" s="33"/>
      <c r="AK30" s="33"/>
      <c r="AL30" s="33"/>
      <c r="AM30" s="33"/>
      <c r="AN30" s="33"/>
      <c r="AO30" s="33"/>
    </row>
    <row r="31" spans="1:41" ht="24.75" customHeight="1" x14ac:dyDescent="0.25">
      <c r="A31" s="5"/>
      <c r="B31" s="3"/>
      <c r="C31" s="3"/>
      <c r="D31" s="3"/>
      <c r="E31" s="6"/>
      <c r="F31" s="4"/>
      <c r="K31" s="54" t="s">
        <v>93</v>
      </c>
      <c r="L31" s="53"/>
      <c r="M31" s="37">
        <f>SUM(Master!$C$5:$C$81)</f>
        <v>30000000</v>
      </c>
      <c r="N31" s="33"/>
      <c r="O31" s="33"/>
      <c r="P31" s="33"/>
      <c r="Q31" s="33"/>
      <c r="R31" s="33"/>
      <c r="S31" s="33"/>
      <c r="T31" s="33"/>
      <c r="U31" s="33"/>
      <c r="V31" s="33"/>
      <c r="AD31" s="33"/>
      <c r="AE31" s="33"/>
      <c r="AF31" s="33">
        <v>30</v>
      </c>
      <c r="AG31" s="33">
        <f t="shared" si="1"/>
        <v>46295</v>
      </c>
      <c r="AH31" s="33" t="e">
        <f ca="1">IF(OR(AF31&gt;$AD$4,AF31&gt;$AD$3),NA(),SUMIFS(SepTable[Jumlah (Rp)],SepTable[Tipe],"Pengeluaran",SepTable[Tanggal],"&lt;="&amp;AG31))</f>
        <v>#N/A</v>
      </c>
      <c r="AI31" s="33">
        <f>IF(AF31&gt;$AD$4,NA(),Rekap!$B$19/$AD$4*AF31)</f>
        <v>237250</v>
      </c>
      <c r="AJ31" s="33"/>
      <c r="AK31" s="33"/>
      <c r="AL31" s="33"/>
      <c r="AM31" s="33"/>
      <c r="AN31" s="33"/>
      <c r="AO31" s="33"/>
    </row>
    <row r="32" spans="1:41" ht="24.75" customHeight="1" x14ac:dyDescent="0.25">
      <c r="A32" s="5"/>
      <c r="B32" s="3"/>
      <c r="C32" s="3"/>
      <c r="D32" s="3"/>
      <c r="E32" s="6"/>
      <c r="F32" s="4"/>
      <c r="K32" s="52" t="s">
        <v>58</v>
      </c>
      <c r="L32" s="53"/>
      <c r="M32" s="40" t="str">
        <f ca="1">IF(M25=0,"belum mulai",IF(M29&gt;M30,"di atas kebiasaan","di bawah kebiasaan"))</f>
        <v>di atas kebiasaan</v>
      </c>
      <c r="N32" s="33"/>
      <c r="O32" s="33"/>
      <c r="P32" s="33"/>
      <c r="Q32" s="33"/>
      <c r="R32" s="33"/>
      <c r="S32" s="33"/>
      <c r="T32" s="33"/>
      <c r="U32" s="33"/>
      <c r="V32" s="33"/>
      <c r="AD32" s="33"/>
      <c r="AE32" s="33"/>
      <c r="AF32" s="33">
        <v>31</v>
      </c>
      <c r="AG32" s="33">
        <f t="shared" si="1"/>
        <v>46296</v>
      </c>
      <c r="AH32" s="33" t="e">
        <f ca="1">IF(OR(AF32&gt;$AD$4,AF32&gt;$AD$3),NA(),SUMIFS(SepTable[Jumlah (Rp)],SepTable[Tipe],"Pengeluaran",SepTable[Tanggal],"&lt;="&amp;AG32))</f>
        <v>#N/A</v>
      </c>
      <c r="AI32" s="33" t="e">
        <f>IF(AF32&gt;$AD$4,NA(),Rekap!$B$19/$AD$4*AF32)</f>
        <v>#N/A</v>
      </c>
      <c r="AJ32" s="33"/>
      <c r="AK32" s="33"/>
      <c r="AL32" s="33"/>
      <c r="AM32" s="33"/>
      <c r="AN32" s="33"/>
      <c r="AO32" s="33"/>
    </row>
    <row r="33" spans="1:41" ht="24.75" customHeight="1" x14ac:dyDescent="0.25">
      <c r="A33" s="5"/>
      <c r="B33" s="3"/>
      <c r="C33" s="3"/>
      <c r="D33" s="3"/>
      <c r="E33" s="6"/>
      <c r="F33" s="4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</row>
    <row r="34" spans="1:41" ht="24.75" customHeight="1" x14ac:dyDescent="0.25">
      <c r="A34" s="5"/>
      <c r="B34" s="3"/>
      <c r="C34" s="3"/>
      <c r="D34" s="3"/>
      <c r="E34" s="6"/>
      <c r="F34" s="4"/>
      <c r="K34" s="32" t="s">
        <v>94</v>
      </c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</row>
    <row r="35" spans="1:41" ht="24.75" customHeight="1" x14ac:dyDescent="0.25">
      <c r="A35" s="5"/>
      <c r="B35" s="3"/>
      <c r="C35" s="3"/>
      <c r="D35" s="3"/>
      <c r="E35" s="6"/>
      <c r="F35" s="4"/>
      <c r="K35" s="34" t="s">
        <v>43</v>
      </c>
      <c r="L35" s="34" t="s">
        <v>37</v>
      </c>
      <c r="M35" s="34" t="s">
        <v>44</v>
      </c>
      <c r="N35" s="33"/>
      <c r="O35" s="33"/>
      <c r="P35" s="33"/>
      <c r="Q35" s="33"/>
      <c r="R35" s="33"/>
      <c r="S35" s="33"/>
      <c r="T35" s="33"/>
      <c r="U35" s="33"/>
      <c r="V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</row>
    <row r="36" spans="1:41" ht="24.75" customHeight="1" x14ac:dyDescent="0.25">
      <c r="A36" s="5"/>
      <c r="B36" s="3"/>
      <c r="C36" s="3"/>
      <c r="D36" s="3"/>
      <c r="E36" s="6"/>
      <c r="F36" s="4"/>
      <c r="K36" s="35" t="str">
        <f>Master!$G$5</f>
        <v>Tunai Uji</v>
      </c>
      <c r="L36" s="37">
        <f>SUMIFS(SepTable[Jumlah (Rp)],SepTable[Tipe],"Pengeluaran",SepTable[Pembayaran],K36)</f>
        <v>80000</v>
      </c>
      <c r="M36" s="48">
        <f t="shared" ref="M36:M44" si="2">IFERROR(L36/$D$3,0)</f>
        <v>0.2</v>
      </c>
      <c r="N36" s="33"/>
      <c r="O36" s="33"/>
      <c r="P36" s="33"/>
      <c r="Q36" s="33"/>
      <c r="R36" s="33"/>
      <c r="S36" s="33"/>
      <c r="T36" s="33"/>
      <c r="U36" s="33"/>
      <c r="V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</row>
    <row r="37" spans="1:41" ht="24.75" customHeight="1" x14ac:dyDescent="0.25">
      <c r="A37" s="5"/>
      <c r="B37" s="3"/>
      <c r="C37" s="3"/>
      <c r="D37" s="3"/>
      <c r="E37" s="6"/>
      <c r="F37" s="4"/>
      <c r="K37" s="35" t="str">
        <f>Master!$G$6</f>
        <v>Bank Uji</v>
      </c>
      <c r="L37" s="37">
        <f>SUMIFS(SepTable[Jumlah (Rp)],SepTable[Tipe],"Pengeluaran",SepTable[Pembayaran],K37)</f>
        <v>0</v>
      </c>
      <c r="M37" s="48">
        <f t="shared" si="2"/>
        <v>0</v>
      </c>
      <c r="N37" s="33"/>
      <c r="O37" s="33"/>
      <c r="P37" s="33"/>
      <c r="Q37" s="33"/>
      <c r="R37" s="33"/>
      <c r="S37" s="33"/>
      <c r="T37" s="33"/>
      <c r="U37" s="33"/>
      <c r="V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</row>
    <row r="38" spans="1:41" ht="24.75" customHeight="1" x14ac:dyDescent="0.25">
      <c r="A38" s="5"/>
      <c r="B38" s="3"/>
      <c r="C38" s="3"/>
      <c r="D38" s="3"/>
      <c r="E38" s="6"/>
      <c r="F38" s="4"/>
      <c r="K38" s="35" t="str">
        <f>Master!$G$7</f>
        <v>Dompet Uji</v>
      </c>
      <c r="L38" s="37">
        <f>SUMIFS(SepTable[Jumlah (Rp)],SepTable[Tipe],"Pengeluaran",SepTable[Pembayaran],K38)</f>
        <v>0</v>
      </c>
      <c r="M38" s="48">
        <f t="shared" si="2"/>
        <v>0</v>
      </c>
      <c r="N38" s="33"/>
      <c r="O38" s="33"/>
      <c r="P38" s="33"/>
      <c r="Q38" s="33"/>
      <c r="R38" s="33"/>
      <c r="S38" s="33"/>
      <c r="T38" s="33"/>
      <c r="U38" s="33"/>
      <c r="V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</row>
    <row r="39" spans="1:41" ht="24.75" customHeight="1" x14ac:dyDescent="0.25">
      <c r="A39" s="5"/>
      <c r="B39" s="3"/>
      <c r="C39" s="3"/>
      <c r="D39" s="3"/>
      <c r="E39" s="6"/>
      <c r="F39" s="4"/>
      <c r="K39" s="35" t="str">
        <f>Master!$G$8</f>
        <v>Kartu Uji</v>
      </c>
      <c r="L39" s="37">
        <f>SUMIFS(SepTable[Jumlah (Rp)],SepTable[Tipe],"Pengeluaran",SepTable[Pembayaran],K39)</f>
        <v>320000</v>
      </c>
      <c r="M39" s="48">
        <f t="shared" si="2"/>
        <v>0.8</v>
      </c>
      <c r="N39" s="33"/>
      <c r="O39" s="33"/>
      <c r="P39" s="33"/>
      <c r="Q39" s="33"/>
      <c r="R39" s="33"/>
      <c r="S39" s="33"/>
      <c r="T39" s="33"/>
      <c r="U39" s="33"/>
      <c r="V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</row>
    <row r="40" spans="1:41" ht="24.75" customHeight="1" x14ac:dyDescent="0.25">
      <c r="A40" s="5"/>
      <c r="B40" s="3"/>
      <c r="C40" s="3"/>
      <c r="D40" s="3"/>
      <c r="E40" s="6"/>
      <c r="F40" s="4"/>
      <c r="K40" s="35" t="str">
        <f>Master!$G$9</f>
        <v>Transfer Uji</v>
      </c>
      <c r="L40" s="37">
        <f>SUMIFS(SepTable[Jumlah (Rp)],SepTable[Tipe],"Pengeluaran",SepTable[Pembayaran],K40)</f>
        <v>0</v>
      </c>
      <c r="M40" s="48">
        <f t="shared" si="2"/>
        <v>0</v>
      </c>
      <c r="N40" s="33"/>
      <c r="O40" s="33"/>
      <c r="P40" s="33"/>
      <c r="Q40" s="33"/>
      <c r="R40" s="33"/>
      <c r="S40" s="33"/>
      <c r="T40" s="33"/>
      <c r="U40" s="33"/>
      <c r="V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</row>
    <row r="41" spans="1:41" ht="24.75" customHeight="1" x14ac:dyDescent="0.25">
      <c r="A41" s="5"/>
      <c r="B41" s="3"/>
      <c r="C41" s="3"/>
      <c r="D41" s="3"/>
      <c r="E41" s="6"/>
      <c r="F41" s="4"/>
      <c r="K41" s="35" t="str">
        <f>Master!$G$10</f>
        <v>Voucher Uji</v>
      </c>
      <c r="L41" s="37">
        <f>SUMIFS(SepTable[Jumlah (Rp)],SepTable[Tipe],"Pengeluaran",SepTable[Pembayaran],K41)</f>
        <v>0</v>
      </c>
      <c r="M41" s="48">
        <f t="shared" si="2"/>
        <v>0</v>
      </c>
      <c r="N41" s="33"/>
      <c r="O41" s="33"/>
      <c r="P41" s="33"/>
      <c r="Q41" s="33"/>
      <c r="R41" s="33"/>
      <c r="S41" s="33"/>
      <c r="T41" s="33"/>
      <c r="U41" s="33"/>
      <c r="V41" s="33"/>
    </row>
    <row r="42" spans="1:41" ht="24.75" customHeight="1" x14ac:dyDescent="0.25">
      <c r="A42" s="5"/>
      <c r="B42" s="3"/>
      <c r="C42" s="3"/>
      <c r="D42" s="3"/>
      <c r="E42" s="6"/>
      <c r="F42" s="4"/>
      <c r="K42" s="35" t="str">
        <f>Master!$G$11</f>
        <v>Cicilan Uji</v>
      </c>
      <c r="L42" s="37">
        <f>SUMIFS(SepTable[Jumlah (Rp)],SepTable[Tipe],"Pengeluaran",SepTable[Pembayaran],K42)</f>
        <v>0</v>
      </c>
      <c r="M42" s="48">
        <f t="shared" si="2"/>
        <v>0</v>
      </c>
      <c r="N42" s="33"/>
      <c r="O42" s="33"/>
      <c r="P42" s="33"/>
      <c r="Q42" s="33"/>
      <c r="R42" s="33"/>
      <c r="S42" s="33"/>
      <c r="T42" s="33"/>
      <c r="U42" s="33"/>
      <c r="V42" s="33"/>
    </row>
    <row r="43" spans="1:41" ht="24.75" customHeight="1" x14ac:dyDescent="0.25">
      <c r="A43" s="5"/>
      <c r="B43" s="3"/>
      <c r="C43" s="3"/>
      <c r="D43" s="3"/>
      <c r="E43" s="6"/>
      <c r="F43" s="4"/>
      <c r="K43" s="35" t="str">
        <f>Master!$G$12</f>
        <v>Lainnya Uji</v>
      </c>
      <c r="L43" s="37">
        <f>SUMIFS(SepTable[Jumlah (Rp)],SepTable[Tipe],"Pengeluaran",SepTable[Pembayaran],K43)</f>
        <v>0</v>
      </c>
      <c r="M43" s="48">
        <f t="shared" si="2"/>
        <v>0</v>
      </c>
      <c r="N43" s="33"/>
      <c r="O43" s="33"/>
      <c r="P43" s="33"/>
      <c r="Q43" s="33"/>
      <c r="R43" s="33"/>
      <c r="S43" s="33"/>
      <c r="T43" s="33"/>
      <c r="U43" s="33"/>
      <c r="V43" s="33"/>
    </row>
    <row r="44" spans="1:41" ht="24.75" customHeight="1" x14ac:dyDescent="0.25">
      <c r="A44" s="5"/>
      <c r="B44" s="3"/>
      <c r="C44" s="3"/>
      <c r="D44" s="3"/>
      <c r="E44" s="6"/>
      <c r="F44" s="4"/>
      <c r="K44" s="40" t="s">
        <v>21</v>
      </c>
      <c r="L44" s="42">
        <f>SUM(L36:L43)</f>
        <v>400000</v>
      </c>
      <c r="M44" s="44">
        <f t="shared" si="2"/>
        <v>1</v>
      </c>
      <c r="N44" s="33"/>
      <c r="O44" s="33"/>
      <c r="P44" s="33"/>
      <c r="Q44" s="33"/>
      <c r="R44" s="33"/>
      <c r="S44" s="33"/>
      <c r="T44" s="33"/>
      <c r="U44" s="33"/>
      <c r="V44" s="33"/>
    </row>
    <row r="45" spans="1:41" ht="24.75" customHeight="1" x14ac:dyDescent="0.25">
      <c r="A45" s="5"/>
      <c r="B45" s="3"/>
      <c r="C45" s="3"/>
      <c r="D45" s="3"/>
      <c r="E45" s="6"/>
      <c r="F45" s="4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</row>
    <row r="46" spans="1:41" ht="24.75" customHeight="1" x14ac:dyDescent="0.25">
      <c r="A46" s="5"/>
      <c r="B46" s="3"/>
      <c r="C46" s="3"/>
      <c r="D46" s="3"/>
      <c r="E46" s="6"/>
      <c r="F46" s="4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</row>
    <row r="47" spans="1:41" ht="24.75" customHeight="1" x14ac:dyDescent="0.25">
      <c r="A47" s="5"/>
      <c r="B47" s="3"/>
      <c r="C47" s="3"/>
      <c r="D47" s="3"/>
      <c r="E47" s="6"/>
      <c r="F47" s="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</row>
    <row r="48" spans="1:41" ht="24.75" customHeight="1" x14ac:dyDescent="0.25">
      <c r="A48" s="5"/>
      <c r="B48" s="3"/>
      <c r="C48" s="3"/>
      <c r="D48" s="3"/>
      <c r="E48" s="6"/>
      <c r="F48" s="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</row>
    <row r="49" spans="1:22" ht="24.75" customHeight="1" x14ac:dyDescent="0.25">
      <c r="A49" s="5"/>
      <c r="B49" s="3"/>
      <c r="C49" s="3"/>
      <c r="D49" s="3"/>
      <c r="E49" s="6"/>
      <c r="F49" s="4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ht="24.75" customHeight="1" x14ac:dyDescent="0.25">
      <c r="A50" s="5"/>
      <c r="B50" s="3"/>
      <c r="C50" s="3"/>
      <c r="D50" s="3"/>
      <c r="E50" s="6"/>
      <c r="F50" s="4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</row>
    <row r="51" spans="1:22" ht="24.75" customHeight="1" x14ac:dyDescent="0.25">
      <c r="A51" s="5"/>
      <c r="B51" s="3"/>
      <c r="C51" s="3"/>
      <c r="D51" s="3"/>
      <c r="E51" s="6"/>
      <c r="F51" s="4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</row>
    <row r="52" spans="1:22" ht="24.75" customHeight="1" x14ac:dyDescent="0.25">
      <c r="A52" s="5"/>
      <c r="B52" s="3"/>
      <c r="C52" s="3"/>
      <c r="D52" s="3"/>
      <c r="E52" s="6"/>
      <c r="F52" s="4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</row>
    <row r="53" spans="1:22" ht="24.75" customHeight="1" x14ac:dyDescent="0.25">
      <c r="A53" s="5"/>
      <c r="B53" s="3"/>
      <c r="C53" s="3"/>
      <c r="D53" s="3"/>
      <c r="E53" s="6"/>
      <c r="F53" s="4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</row>
    <row r="54" spans="1:22" ht="24.75" customHeight="1" x14ac:dyDescent="0.25">
      <c r="A54" s="5"/>
      <c r="B54" s="3"/>
      <c r="C54" s="3"/>
      <c r="D54" s="3"/>
      <c r="E54" s="6"/>
      <c r="F54" s="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</row>
    <row r="55" spans="1:22" ht="24.75" customHeight="1" x14ac:dyDescent="0.25">
      <c r="A55" s="5"/>
      <c r="B55" s="3"/>
      <c r="C55" s="3"/>
      <c r="D55" s="3"/>
      <c r="E55" s="6"/>
      <c r="F55" s="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</row>
    <row r="56" spans="1:22" ht="24.75" customHeight="1" x14ac:dyDescent="0.25">
      <c r="A56" s="5"/>
      <c r="B56" s="3"/>
      <c r="C56" s="3"/>
      <c r="D56" s="3"/>
      <c r="E56" s="6"/>
      <c r="F56" s="4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</row>
    <row r="57" spans="1:22" ht="24.75" customHeight="1" x14ac:dyDescent="0.25">
      <c r="A57" s="5"/>
      <c r="B57" s="3"/>
      <c r="C57" s="3"/>
      <c r="D57" s="3"/>
      <c r="E57" s="6"/>
      <c r="F57" s="4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</row>
    <row r="58" spans="1:22" ht="24.75" customHeight="1" x14ac:dyDescent="0.25">
      <c r="A58" s="5"/>
      <c r="B58" s="3"/>
      <c r="C58" s="3"/>
      <c r="D58" s="3"/>
      <c r="E58" s="6"/>
      <c r="F58" s="4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</row>
    <row r="59" spans="1:22" ht="24.75" customHeight="1" x14ac:dyDescent="0.25">
      <c r="A59" s="5"/>
      <c r="B59" s="3"/>
      <c r="C59" s="3"/>
      <c r="D59" s="3"/>
      <c r="E59" s="6"/>
      <c r="F59" s="4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</row>
    <row r="60" spans="1:22" ht="24.75" customHeight="1" x14ac:dyDescent="0.25">
      <c r="A60" s="5"/>
      <c r="B60" s="3"/>
      <c r="C60" s="3"/>
      <c r="D60" s="3"/>
      <c r="E60" s="6"/>
      <c r="F60" s="4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</row>
    <row r="61" spans="1:22" ht="24.75" customHeight="1" x14ac:dyDescent="0.25">
      <c r="A61" s="5"/>
      <c r="B61" s="3"/>
      <c r="C61" s="3"/>
      <c r="D61" s="3"/>
      <c r="E61" s="6"/>
      <c r="F61" s="4"/>
    </row>
    <row r="62" spans="1:22" ht="24.75" customHeight="1" x14ac:dyDescent="0.25">
      <c r="A62" s="5"/>
      <c r="B62" s="3"/>
      <c r="C62" s="3"/>
      <c r="D62" s="3"/>
      <c r="E62" s="6"/>
      <c r="F62" s="4"/>
    </row>
    <row r="63" spans="1:22" ht="24.75" customHeight="1" x14ac:dyDescent="0.25">
      <c r="A63" s="5"/>
      <c r="B63" s="3"/>
      <c r="C63" s="3"/>
      <c r="D63" s="3"/>
      <c r="E63" s="6"/>
      <c r="F63" s="4"/>
    </row>
    <row r="64" spans="1:22" ht="24.75" customHeight="1" x14ac:dyDescent="0.25">
      <c r="A64" s="5"/>
      <c r="B64" s="3"/>
      <c r="C64" s="3"/>
      <c r="D64" s="3"/>
      <c r="E64" s="6"/>
      <c r="F64" s="4"/>
    </row>
    <row r="65" spans="1:6" ht="24.75" customHeight="1" x14ac:dyDescent="0.25">
      <c r="A65" s="5"/>
      <c r="B65" s="3"/>
      <c r="C65" s="3"/>
      <c r="D65" s="3"/>
      <c r="E65" s="6"/>
      <c r="F65" s="4"/>
    </row>
    <row r="66" spans="1:6" ht="24.75" customHeight="1" x14ac:dyDescent="0.25">
      <c r="A66" s="5"/>
      <c r="B66" s="3"/>
      <c r="C66" s="3"/>
      <c r="D66" s="3"/>
      <c r="E66" s="6"/>
      <c r="F66" s="4"/>
    </row>
    <row r="67" spans="1:6" ht="24.75" customHeight="1" x14ac:dyDescent="0.25">
      <c r="A67" s="5"/>
      <c r="B67" s="3"/>
      <c r="C67" s="3"/>
      <c r="D67" s="3"/>
      <c r="E67" s="6"/>
      <c r="F67" s="4"/>
    </row>
    <row r="68" spans="1:6" ht="24.75" customHeight="1" x14ac:dyDescent="0.25">
      <c r="A68" s="5"/>
      <c r="B68" s="3"/>
      <c r="C68" s="3"/>
      <c r="D68" s="3"/>
      <c r="E68" s="6"/>
      <c r="F68" s="4"/>
    </row>
    <row r="69" spans="1:6" ht="24.75" customHeight="1" x14ac:dyDescent="0.25">
      <c r="A69" s="5"/>
      <c r="B69" s="3"/>
      <c r="C69" s="3"/>
      <c r="D69" s="3"/>
      <c r="E69" s="6"/>
      <c r="F69" s="4"/>
    </row>
    <row r="70" spans="1:6" ht="24.75" customHeight="1" x14ac:dyDescent="0.25">
      <c r="A70" s="5"/>
      <c r="B70" s="3"/>
      <c r="C70" s="3"/>
      <c r="D70" s="3"/>
      <c r="E70" s="6"/>
      <c r="F70" s="4"/>
    </row>
    <row r="71" spans="1:6" ht="24.75" customHeight="1" x14ac:dyDescent="0.25">
      <c r="A71" s="5"/>
      <c r="B71" s="3"/>
      <c r="C71" s="3"/>
      <c r="D71" s="3"/>
      <c r="E71" s="6"/>
      <c r="F71" s="4"/>
    </row>
    <row r="72" spans="1:6" ht="24.75" customHeight="1" x14ac:dyDescent="0.25">
      <c r="A72" s="5"/>
      <c r="B72" s="3"/>
      <c r="C72" s="3"/>
      <c r="D72" s="3"/>
      <c r="E72" s="6"/>
      <c r="F72" s="4"/>
    </row>
    <row r="73" spans="1:6" ht="24.75" customHeight="1" x14ac:dyDescent="0.25">
      <c r="A73" s="5"/>
      <c r="B73" s="3"/>
      <c r="C73" s="3"/>
      <c r="D73" s="3"/>
      <c r="E73" s="6"/>
      <c r="F73" s="4"/>
    </row>
    <row r="74" spans="1:6" ht="24.75" customHeight="1" x14ac:dyDescent="0.25">
      <c r="A74" s="5"/>
      <c r="B74" s="3"/>
      <c r="C74" s="3"/>
      <c r="D74" s="3"/>
      <c r="E74" s="6"/>
      <c r="F74" s="4"/>
    </row>
    <row r="75" spans="1:6" ht="24.75" customHeight="1" x14ac:dyDescent="0.25">
      <c r="A75" s="5"/>
      <c r="B75" s="3"/>
      <c r="C75" s="3"/>
      <c r="D75" s="3"/>
      <c r="E75" s="6"/>
      <c r="F75" s="4"/>
    </row>
    <row r="76" spans="1:6" ht="24.75" customHeight="1" x14ac:dyDescent="0.25">
      <c r="A76" s="5"/>
      <c r="B76" s="3"/>
      <c r="C76" s="3"/>
      <c r="D76" s="3"/>
      <c r="E76" s="6"/>
      <c r="F76" s="4"/>
    </row>
    <row r="77" spans="1:6" ht="24.75" customHeight="1" x14ac:dyDescent="0.25">
      <c r="A77" s="5"/>
      <c r="B77" s="3"/>
      <c r="C77" s="3"/>
      <c r="D77" s="3"/>
      <c r="E77" s="6"/>
      <c r="F77" s="4"/>
    </row>
    <row r="78" spans="1:6" ht="24.75" customHeight="1" x14ac:dyDescent="0.25">
      <c r="A78" s="5"/>
      <c r="B78" s="3"/>
      <c r="C78" s="3"/>
      <c r="D78" s="3"/>
      <c r="E78" s="6"/>
      <c r="F78" s="4"/>
    </row>
    <row r="79" spans="1:6" ht="24.75" customHeight="1" x14ac:dyDescent="0.25">
      <c r="A79" s="5"/>
      <c r="B79" s="3"/>
      <c r="C79" s="3"/>
      <c r="D79" s="3"/>
      <c r="E79" s="6"/>
      <c r="F79" s="4"/>
    </row>
    <row r="80" spans="1:6" ht="24.75" customHeight="1" x14ac:dyDescent="0.25">
      <c r="A80" s="5"/>
      <c r="B80" s="3"/>
      <c r="C80" s="3"/>
      <c r="D80" s="3"/>
      <c r="E80" s="6"/>
      <c r="F80" s="4"/>
    </row>
    <row r="81" spans="1:6" ht="24.75" customHeight="1" x14ac:dyDescent="0.25">
      <c r="A81" s="5"/>
      <c r="B81" s="3"/>
      <c r="C81" s="3"/>
      <c r="D81" s="3"/>
      <c r="E81" s="6"/>
      <c r="F81" s="4"/>
    </row>
    <row r="82" spans="1:6" ht="24.75" customHeight="1" x14ac:dyDescent="0.25">
      <c r="A82" s="5"/>
      <c r="B82" s="3"/>
      <c r="C82" s="3"/>
      <c r="D82" s="3"/>
      <c r="E82" s="6"/>
      <c r="F82" s="4"/>
    </row>
    <row r="83" spans="1:6" ht="24.75" customHeight="1" x14ac:dyDescent="0.25">
      <c r="A83" s="5"/>
      <c r="B83" s="3"/>
      <c r="C83" s="3"/>
      <c r="D83" s="3"/>
      <c r="E83" s="6"/>
      <c r="F83" s="4"/>
    </row>
    <row r="84" spans="1:6" ht="24.75" customHeight="1" x14ac:dyDescent="0.25">
      <c r="A84" s="5"/>
      <c r="B84" s="3"/>
      <c r="C84" s="3"/>
      <c r="D84" s="3"/>
      <c r="E84" s="6"/>
      <c r="F84" s="4"/>
    </row>
    <row r="85" spans="1:6" ht="24.75" customHeight="1" x14ac:dyDescent="0.25">
      <c r="A85" s="5"/>
      <c r="B85" s="3"/>
      <c r="C85" s="3"/>
      <c r="D85" s="3"/>
      <c r="E85" s="6"/>
      <c r="F85" s="4"/>
    </row>
    <row r="86" spans="1:6" ht="24.75" customHeight="1" x14ac:dyDescent="0.25">
      <c r="A86" s="5"/>
      <c r="B86" s="3"/>
      <c r="C86" s="3"/>
      <c r="D86" s="3"/>
      <c r="E86" s="6"/>
      <c r="F86" s="49"/>
    </row>
    <row r="87" spans="1:6" ht="24.75" customHeight="1" x14ac:dyDescent="0.25">
      <c r="A87" s="5"/>
      <c r="B87" s="3"/>
      <c r="C87" s="3"/>
      <c r="D87" s="3"/>
      <c r="E87" s="6"/>
      <c r="F87" s="49"/>
    </row>
    <row r="88" spans="1:6" ht="24.75" customHeight="1" x14ac:dyDescent="0.25">
      <c r="A88" s="5"/>
      <c r="B88" s="3"/>
      <c r="C88" s="3"/>
      <c r="D88" s="3"/>
      <c r="E88" s="6"/>
      <c r="F88" s="3"/>
    </row>
    <row r="89" spans="1:6" ht="24.75" customHeight="1" x14ac:dyDescent="0.25">
      <c r="A89" s="5"/>
      <c r="B89" s="3"/>
      <c r="C89" s="3"/>
      <c r="D89" s="3"/>
      <c r="E89" s="6"/>
      <c r="F89" s="3"/>
    </row>
    <row r="90" spans="1:6" ht="24.75" customHeight="1" x14ac:dyDescent="0.25">
      <c r="A90" s="5"/>
      <c r="B90" s="3"/>
      <c r="C90" s="3"/>
      <c r="D90" s="3"/>
      <c r="E90" s="6"/>
      <c r="F90" s="3"/>
    </row>
  </sheetData>
  <mergeCells count="21">
    <mergeCell ref="K16:L16"/>
    <mergeCell ref="K30:L30"/>
    <mergeCell ref="K18:L18"/>
    <mergeCell ref="K25:L25"/>
    <mergeCell ref="K24:L24"/>
    <mergeCell ref="K32:L32"/>
    <mergeCell ref="K31:L31"/>
    <mergeCell ref="K27:L27"/>
    <mergeCell ref="R8:T8"/>
    <mergeCell ref="H13:I13"/>
    <mergeCell ref="K14:L14"/>
    <mergeCell ref="K17:L17"/>
    <mergeCell ref="K10:L10"/>
    <mergeCell ref="K28:L28"/>
    <mergeCell ref="K19:L19"/>
    <mergeCell ref="K15:L15"/>
    <mergeCell ref="K9:L9"/>
    <mergeCell ref="K26:L26"/>
    <mergeCell ref="K29:L29"/>
    <mergeCell ref="K11:L11"/>
    <mergeCell ref="K20:L20"/>
  </mergeCells>
  <conditionalFormatting sqref="M19">
    <cfRule type="cellIs" dxfId="52" priority="3" operator="lessThan">
      <formula>0</formula>
    </cfRule>
    <cfRule type="cellIs" dxfId="51" priority="4" operator="greaterThanOrEqual">
      <formula>0</formula>
    </cfRule>
  </conditionalFormatting>
  <conditionalFormatting sqref="M32">
    <cfRule type="cellIs" dxfId="50" priority="5" operator="equal">
      <formula>"di atas kebiasaan"</formula>
    </cfRule>
    <cfRule type="cellIs" dxfId="49" priority="6" operator="equal">
      <formula>"di bawah kebiasaan"</formula>
    </cfRule>
  </conditionalFormatting>
  <conditionalFormatting sqref="U12:U15">
    <cfRule type="cellIs" dxfId="48" priority="7" operator="greaterThan">
      <formula>0</formula>
    </cfRule>
    <cfRule type="cellIs" dxfId="47" priority="8" operator="lessThan">
      <formula>0</formula>
    </cfRule>
  </conditionalFormatting>
  <conditionalFormatting sqref="U19:U23">
    <cfRule type="cellIs" dxfId="46" priority="9" operator="greaterThan">
      <formula>0</formula>
    </cfRule>
    <cfRule type="cellIs" dxfId="45" priority="10" operator="lessThan">
      <formula>0</formula>
    </cfRule>
  </conditionalFormatting>
  <conditionalFormatting sqref="B6:B505">
    <cfRule type="expression" dxfId="44" priority="11" stopIfTrue="1">
      <formula>TRIM($B6)="Pengeluaran"</formula>
    </cfRule>
    <cfRule type="expression" dxfId="43" priority="12" stopIfTrue="1">
      <formula>TRIM($B6)="Pemasukan"</formula>
    </cfRule>
  </conditionalFormatting>
  <dataValidations count="6">
    <dataValidation type="list" errorStyle="warning" allowBlank="1" showErrorMessage="1" errorTitle="Di luar daftar" error="Nilai ini tidak ada di sheet Master. Tetap pakai?" sqref="B6:B44" xr:uid="{2F21CFFA-0202-4E80-9534-B18C627E613D}">
      <formula1>ListTipe</formula1>
    </dataValidation>
    <dataValidation type="list" errorStyle="warning" allowBlank="1" showErrorMessage="1" errorTitle="Di luar daftar" error="Nilai ini tidak ada di sheet Master. Tetap pakai?" sqref="C6:C44" xr:uid="{F5571DDB-BB07-44F0-B582-0DD367A73C77}">
      <formula1>ListPembayaran</formula1>
    </dataValidation>
    <dataValidation type="list" errorStyle="warning" allowBlank="1" showErrorMessage="1" errorTitle="Di luar daftar" error="Nilai ini tidak ada di sheet Master. Tetap pakai?" sqref="D6:D44" xr:uid="{84292090-A897-427A-A6AC-0712BE8E947C}">
      <formula1>ListKategori</formula1>
    </dataValidation>
    <dataValidation type="list" errorStyle="warning" allowBlank="1" errorTitle="Di luar daftar" error="Nilai ini tidak ada di sheet Master. Tetap pakai?" sqref="B45:B542" xr:uid="{00000000-0002-0000-0900-000000000000}">
      <formula1>ListTipe</formula1>
    </dataValidation>
    <dataValidation type="list" errorStyle="warning" allowBlank="1" errorTitle="Di luar daftar" error="Nilai ini tidak ada di sheet Master. Tetap pakai?" sqref="C45:C542" xr:uid="{00000000-0002-0000-0900-000001000000}">
      <formula1>ListPembayaran</formula1>
    </dataValidation>
    <dataValidation type="list" errorStyle="warning" allowBlank="1" errorTitle="Di luar daftar" error="Nilai ini tidak ada di sheet Master. Tetap pakai?" sqref="D45:D542" xr:uid="{00000000-0002-0000-0900-000002000000}">
      <formula1>ListKategori</formula1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5" name="Button 1">
              <controlPr defaultSize="0" print="0" autoFill="0" autoPict="0" macro="TambahBarisBaru_ActiveSheet">
                <anchor moveWithCells="1" sizeWithCells="1">
                  <from>
                    <xdr:col>4</xdr:col>
                    <xdr:colOff>1457325</xdr:colOff>
                    <xdr:row>1</xdr:row>
                    <xdr:rowOff>285750</xdr:rowOff>
                  </from>
                  <to>
                    <xdr:col>5</xdr:col>
                    <xdr:colOff>3038475</xdr:colOff>
                    <xdr:row>3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AO105"/>
  <sheetViews>
    <sheetView workbookViewId="0">
      <selection activeCell="F15" sqref="F15"/>
    </sheetView>
  </sheetViews>
  <sheetFormatPr defaultRowHeight="24.75" customHeight="1" x14ac:dyDescent="0.25"/>
  <cols>
    <col min="1" max="1" width="15" customWidth="1"/>
    <col min="2" max="2" width="14" customWidth="1"/>
    <col min="3" max="3" width="20.85546875" customWidth="1"/>
    <col min="4" max="5" width="22.140625" customWidth="1"/>
    <col min="6" max="6" width="46" customWidth="1"/>
    <col min="7" max="7" width="2" customWidth="1"/>
    <col min="8" max="8" width="16.7109375" customWidth="1"/>
    <col min="9" max="9" width="16.42578125" customWidth="1"/>
    <col min="10" max="10" width="9.140625" customWidth="1"/>
    <col min="11" max="11" width="26" customWidth="1"/>
    <col min="12" max="12" width="9" customWidth="1"/>
    <col min="13" max="15" width="16" customWidth="1"/>
    <col min="16" max="16" width="19" customWidth="1"/>
    <col min="17" max="17" width="2" customWidth="1"/>
    <col min="18" max="18" width="22" customWidth="1"/>
    <col min="19" max="21" width="15" customWidth="1"/>
    <col min="22" max="22" width="34" customWidth="1"/>
    <col min="30" max="41" width="13" hidden="1" customWidth="1"/>
  </cols>
  <sheetData>
    <row r="1" spans="1:41" ht="24.75" customHeight="1" x14ac:dyDescent="0.25">
      <c r="A1" s="15" t="s">
        <v>45</v>
      </c>
      <c r="B1" s="16"/>
      <c r="C1" s="17" t="s">
        <v>46</v>
      </c>
      <c r="D1" s="16"/>
      <c r="K1" s="32" t="s">
        <v>47</v>
      </c>
      <c r="L1" s="33"/>
      <c r="M1" s="33"/>
      <c r="N1" s="33"/>
      <c r="O1" s="33"/>
      <c r="P1" s="33"/>
      <c r="Q1" s="33"/>
      <c r="R1" s="32" t="s">
        <v>48</v>
      </c>
      <c r="S1" s="33"/>
      <c r="T1" s="33"/>
      <c r="U1" s="33"/>
      <c r="V1" s="33"/>
      <c r="AD1" s="33">
        <f>DATE(2026,10,1)</f>
        <v>46296</v>
      </c>
      <c r="AE1" s="33"/>
      <c r="AF1" s="33" t="s">
        <v>49</v>
      </c>
      <c r="AG1" s="33"/>
      <c r="AH1" s="33" t="s">
        <v>50</v>
      </c>
      <c r="AI1" s="33" t="s">
        <v>51</v>
      </c>
      <c r="AJ1" s="33" t="str">
        <f>Master!$A$5</f>
        <v>Kategori Uji 01</v>
      </c>
      <c r="AK1" s="33">
        <f>SUMIFS(OktTable[Jumlah (Rp)],OktTable[Tipe],"Pengeluaran",OktTable[Kategori],AJ1)</f>
        <v>0</v>
      </c>
      <c r="AL1" s="33">
        <f>SUMIFS(SepTable[Jumlah (Rp)],SepTable[Tipe],"Pengeluaran",SepTable[Kategori],AJ1)</f>
        <v>80000</v>
      </c>
      <c r="AM1" s="33">
        <f t="shared" ref="AM1:AM23" si="0">AK1+ROW()/1000000</f>
        <v>9.9999999999999995E-7</v>
      </c>
      <c r="AN1" s="33">
        <f>MAX($AM$1:$AM$23)</f>
        <v>2.3E-5</v>
      </c>
      <c r="AO1" s="33">
        <f>IFERROR(MATCH(AN1,$AM$1:$AM$23,0),0)</f>
        <v>23</v>
      </c>
    </row>
    <row r="2" spans="1:41" ht="24.75" customHeight="1" x14ac:dyDescent="0.25">
      <c r="A2" s="15" t="s">
        <v>5</v>
      </c>
      <c r="B2" s="7" t="str">
        <f>IF(B1=0,"",B1-D4)</f>
        <v/>
      </c>
      <c r="C2" s="17" t="s">
        <v>52</v>
      </c>
      <c r="D2" s="2">
        <f>SUMIFS(OktTable[Jumlah (Rp)],OktTable[Tipe],"Pemasukan")</f>
        <v>0</v>
      </c>
      <c r="E2" s="8">
        <f>IFERROR(D2/(D2+D3),0)</f>
        <v>0</v>
      </c>
      <c r="K2" s="34" t="s">
        <v>53</v>
      </c>
      <c r="L2" s="34" t="s">
        <v>54</v>
      </c>
      <c r="M2" s="34" t="s">
        <v>55</v>
      </c>
      <c r="N2" s="34" t="s">
        <v>56</v>
      </c>
      <c r="O2" s="34" t="s">
        <v>57</v>
      </c>
      <c r="P2" s="34" t="s">
        <v>58</v>
      </c>
      <c r="Q2" s="33"/>
      <c r="R2" s="34" t="s">
        <v>59</v>
      </c>
      <c r="S2" s="34" t="s">
        <v>49</v>
      </c>
      <c r="T2" s="34" t="s">
        <v>25</v>
      </c>
      <c r="U2" s="34" t="s">
        <v>60</v>
      </c>
      <c r="V2" s="34" t="s">
        <v>61</v>
      </c>
      <c r="AD2" s="33">
        <f>EOMONTH(AD1,0)</f>
        <v>46326</v>
      </c>
      <c r="AE2" s="33"/>
      <c r="AF2" s="33">
        <v>1</v>
      </c>
      <c r="AG2" s="33">
        <f t="shared" ref="AG2:AG32" si="1">DATE(2026,10,AF2)</f>
        <v>46296</v>
      </c>
      <c r="AH2" s="33" t="e">
        <f ca="1">IF(OR(AF2&gt;$AD$4,AF2&gt;$AD$3),NA(),SUMIFS(OktTable[Jumlah (Rp)],OktTable[Tipe],"Pengeluaran",OktTable[Tanggal],"&lt;="&amp;AG2))</f>
        <v>#N/A</v>
      </c>
      <c r="AI2" s="33">
        <f>IF(AF2&gt;$AD$4,NA(),Rekap!$B$19/$AD$4*AF2)</f>
        <v>7653.2258064516127</v>
      </c>
      <c r="AJ2" s="33" t="str">
        <f>Master!$A$6</f>
        <v>Kategori Uji 02</v>
      </c>
      <c r="AK2" s="33">
        <f>SUMIFS(OktTable[Jumlah (Rp)],OktTable[Tipe],"Pengeluaran",OktTable[Kategori],AJ2)</f>
        <v>0</v>
      </c>
      <c r="AL2" s="33">
        <f>SUMIFS(SepTable[Jumlah (Rp)],SepTable[Tipe],"Pengeluaran",SepTable[Kategori],AJ2)</f>
        <v>0</v>
      </c>
      <c r="AM2" s="33">
        <f t="shared" si="0"/>
        <v>1.9999999999999999E-6</v>
      </c>
      <c r="AN2" s="33">
        <f>SUMPRODUCT(MAX(($AM$1:$AM$23&lt;AN1)*$AM$1:$AM$23))</f>
        <v>2.1999999999999999E-5</v>
      </c>
      <c r="AO2" s="33">
        <f>IFERROR(MATCH(AN2,$AM$1:$AM$23,0),0)</f>
        <v>22</v>
      </c>
    </row>
    <row r="3" spans="1:41" ht="24.75" customHeight="1" x14ac:dyDescent="0.25">
      <c r="A3" s="15" t="s">
        <v>6</v>
      </c>
      <c r="B3" s="18" t="str">
        <f>IF(D2=0,"",(D2-D3)/D2)</f>
        <v/>
      </c>
      <c r="C3" s="19" t="s">
        <v>62</v>
      </c>
      <c r="D3" s="2">
        <f>SUMIFS(OktTable[Jumlah (Rp)],OktTable[Tipe],"Pengeluaran")</f>
        <v>0</v>
      </c>
      <c r="E3" s="8">
        <f>IFERROR(D3/(D2+D3),0)</f>
        <v>0</v>
      </c>
      <c r="K3" s="35" t="str">
        <f>"Uang Makan (hari kerja "&amp;TEXT($AD$1-1,"mmmm")&amp;")"</f>
        <v>Uang Makan (hari kerja September)</v>
      </c>
      <c r="L3" s="36">
        <v>10</v>
      </c>
      <c r="M3" s="37">
        <f>$M$10*$M$11</f>
        <v>0</v>
      </c>
      <c r="N3" s="37">
        <f>SUMIFS(OktTable[Jumlah (Rp)],OktTable[Tipe],"Pemasukan",OktTable[Kategori],"Uang Makan")</f>
        <v>0</v>
      </c>
      <c r="O3" s="37">
        <f ca="1">IF(OR(N3&gt;0,TODAY()&gt;$AD$2),0,N(M3))</f>
        <v>0</v>
      </c>
      <c r="P3" s="35" t="str">
        <f ca="1">IF(N3&gt;0,"sudah cair",IF(TODAY()&gt;$AD$2,"bulan sudah lewat",IF(N(M3)=0,"isi estimasi dulu","menunggu tgl 10")))</f>
        <v>isi estimasi dulu</v>
      </c>
      <c r="Q3" s="33"/>
      <c r="R3" s="36">
        <v>1</v>
      </c>
      <c r="S3" s="38">
        <f>IF($AE$6=0,"",INDEX(OktTable[Tanggal],$AE$6))</f>
        <v>0</v>
      </c>
      <c r="T3" s="35">
        <f>IF($AE$6=0,"",INDEX(OktTable[Kategori],$AE$6))</f>
        <v>0</v>
      </c>
      <c r="U3" s="37">
        <f>IF($AE$6=0,"",INDEX(OktTable[Jumlah (Rp)],$AE$6))</f>
        <v>0</v>
      </c>
      <c r="V3" s="35">
        <f>IF($AE$6=0,"",INDEX(OktTable[Keterangan],$AE$6))</f>
        <v>0</v>
      </c>
      <c r="AD3" s="33">
        <f ca="1">IF(TODAY()&gt;=AD2,DAY(AD2),IF(TODAY()&lt;AD1,0,DAY(TODAY())))</f>
        <v>0</v>
      </c>
      <c r="AE3" s="33"/>
      <c r="AF3" s="33">
        <v>2</v>
      </c>
      <c r="AG3" s="33">
        <f t="shared" si="1"/>
        <v>46297</v>
      </c>
      <c r="AH3" s="33" t="e">
        <f ca="1">IF(OR(AF3&gt;$AD$4,AF3&gt;$AD$3),NA(),SUMIFS(OktTable[Jumlah (Rp)],OktTable[Tipe],"Pengeluaran",OktTable[Tanggal],"&lt;="&amp;AG3))</f>
        <v>#N/A</v>
      </c>
      <c r="AI3" s="33">
        <f>IF(AF3&gt;$AD$4,NA(),Rekap!$B$19/$AD$4*AF3)</f>
        <v>15306.451612903225</v>
      </c>
      <c r="AJ3" s="33" t="str">
        <f>Master!$A$7</f>
        <v>Kategori Uji 03</v>
      </c>
      <c r="AK3" s="33">
        <f>SUMIFS(OktTable[Jumlah (Rp)],OktTable[Tipe],"Pengeluaran",OktTable[Kategori],AJ3)</f>
        <v>0</v>
      </c>
      <c r="AL3" s="33">
        <f>SUMIFS(SepTable[Jumlah (Rp)],SepTable[Tipe],"Pengeluaran",SepTable[Kategori],AJ3)</f>
        <v>0</v>
      </c>
      <c r="AM3" s="33">
        <f t="shared" si="0"/>
        <v>3.0000000000000001E-6</v>
      </c>
      <c r="AN3" s="33">
        <f>SUMPRODUCT(MAX(($AM$1:$AM$23&lt;AN2)*$AM$1:$AM$23))</f>
        <v>2.0999999999999999E-5</v>
      </c>
      <c r="AO3" s="33">
        <f>IFERROR(MATCH(AN3,$AM$1:$AM$23,0),0)</f>
        <v>21</v>
      </c>
    </row>
    <row r="4" spans="1:41" ht="24.75" customHeight="1" x14ac:dyDescent="0.25">
      <c r="A4" s="15" t="s">
        <v>63</v>
      </c>
      <c r="B4">
        <f>COUNTA(OktTable[Tanggal])</f>
        <v>0</v>
      </c>
      <c r="C4" s="17" t="s">
        <v>64</v>
      </c>
      <c r="D4" s="20">
        <f>D1+D2-D3</f>
        <v>0</v>
      </c>
      <c r="K4" s="35" t="s">
        <v>144</v>
      </c>
      <c r="L4" s="36">
        <v>10</v>
      </c>
      <c r="M4" s="39">
        <v>5000000</v>
      </c>
      <c r="N4" s="37">
        <f>SUMIFS(OktTable[Jumlah (Rp)],OktTable[Tipe],"Pemasukan",OktTable[Kategori],"Gaji")</f>
        <v>0</v>
      </c>
      <c r="O4" s="37">
        <f ca="1">IF(OR(N4&gt;1000000,TODAY()&gt;$AD$2),0,N(M4))</f>
        <v>5000000</v>
      </c>
      <c r="P4" s="35" t="str">
        <f ca="1">IF(N4&gt;1000000,"sudah cair",IF(TODAY()&gt;$AD$2,"bulan sudah lewat",IF(N(M4)=0,"isi estimasi dulu","menunggu tgl 25")))</f>
        <v>menunggu tgl 25</v>
      </c>
      <c r="Q4" s="33"/>
      <c r="R4" s="36">
        <v>2</v>
      </c>
      <c r="S4" s="38">
        <f>IF($AE$7=0,"",INDEX(OktTable[Tanggal],$AE$7))</f>
        <v>0</v>
      </c>
      <c r="T4" s="35">
        <f>IF($AE$7=0,"",INDEX(OktTable[Kategori],$AE$7))</f>
        <v>0</v>
      </c>
      <c r="U4" s="37">
        <f>IF($AE$7=0,"",INDEX(OktTable[Jumlah (Rp)],$AE$7))</f>
        <v>0</v>
      </c>
      <c r="V4" s="35">
        <f>IF($AE$7=0,"",INDEX(OktTable[Keterangan],$AE$7))</f>
        <v>0</v>
      </c>
      <c r="AD4" s="33">
        <f>DAY(AD2)</f>
        <v>31</v>
      </c>
      <c r="AE4" s="33"/>
      <c r="AF4" s="33">
        <v>3</v>
      </c>
      <c r="AG4" s="33">
        <f t="shared" si="1"/>
        <v>46298</v>
      </c>
      <c r="AH4" s="33" t="e">
        <f ca="1">IF(OR(AF4&gt;$AD$4,AF4&gt;$AD$3),NA(),SUMIFS(OktTable[Jumlah (Rp)],OktTable[Tipe],"Pengeluaran",OktTable[Tanggal],"&lt;="&amp;AG4))</f>
        <v>#N/A</v>
      </c>
      <c r="AI4" s="33">
        <f>IF(AF4&gt;$AD$4,NA(),Rekap!$B$19/$AD$4*AF4)</f>
        <v>22959.677419354837</v>
      </c>
      <c r="AJ4" s="33" t="str">
        <f>Master!$A$8</f>
        <v>Kategori Uji 04</v>
      </c>
      <c r="AK4" s="33">
        <f>SUMIFS(OktTable[Jumlah (Rp)],OktTable[Tipe],"Pengeluaran",OktTable[Kategori],AJ4)</f>
        <v>0</v>
      </c>
      <c r="AL4" s="33">
        <f>SUMIFS(SepTable[Jumlah (Rp)],SepTable[Tipe],"Pengeluaran",SepTable[Kategori],AJ4)</f>
        <v>320000</v>
      </c>
      <c r="AM4" s="33">
        <f t="shared" si="0"/>
        <v>3.9999999999999998E-6</v>
      </c>
      <c r="AN4" s="33">
        <f>SUMPRODUCT(MAX(($AM$1:$AM$23&lt;AN3)*$AM$1:$AM$23))</f>
        <v>2.0000000000000002E-5</v>
      </c>
      <c r="AO4" s="33">
        <f>IFERROR(MATCH(AN4,$AM$1:$AM$23,0),0)</f>
        <v>20</v>
      </c>
    </row>
    <row r="5" spans="1:41" ht="24.75" customHeight="1" x14ac:dyDescent="0.25">
      <c r="A5" s="1" t="s">
        <v>49</v>
      </c>
      <c r="B5" s="1" t="s">
        <v>65</v>
      </c>
      <c r="C5" s="1" t="s">
        <v>66</v>
      </c>
      <c r="D5" s="1" t="s">
        <v>25</v>
      </c>
      <c r="E5" s="1" t="s">
        <v>67</v>
      </c>
      <c r="F5" s="51" t="s">
        <v>61</v>
      </c>
      <c r="K5" s="35" t="s">
        <v>145</v>
      </c>
      <c r="L5" s="36">
        <v>20</v>
      </c>
      <c r="M5" s="39">
        <v>1000000</v>
      </c>
      <c r="N5" s="37">
        <f>SUMIFS(OktTable[Jumlah (Rp)],OktTable[Tipe],"Pemasukan",OktTable[Kategori],"Freelance")</f>
        <v>0</v>
      </c>
      <c r="O5" s="37">
        <f ca="1">IF(OR(N5&gt;0,TODAY()&gt;$AD$2),0,N(M5))</f>
        <v>1000000</v>
      </c>
      <c r="P5" s="35" t="str">
        <f ca="1">IF(N5&gt;0,"sudah cair",IF(TODAY()&gt;$AD$2,"bulan sudah lewat",IF(N(M5)=0,"isi estimasi dulu","menunggu tgl 28")))</f>
        <v>menunggu tgl 28</v>
      </c>
      <c r="Q5" s="33"/>
      <c r="R5" s="36">
        <v>3</v>
      </c>
      <c r="S5" s="38">
        <f>IF($AE$8=0,"",INDEX(OktTable[Tanggal],$AE$8))</f>
        <v>0</v>
      </c>
      <c r="T5" s="35">
        <f>IF($AE$8=0,"",INDEX(OktTable[Kategori],$AE$8))</f>
        <v>0</v>
      </c>
      <c r="U5" s="37">
        <f>IF($AE$8=0,"",INDEX(OktTable[Jumlah (Rp)],$AE$8))</f>
        <v>0</v>
      </c>
      <c r="V5" s="35">
        <f>IF($AE$8=0,"",INDEX(OktTable[Keterangan],$AE$8))</f>
        <v>0</v>
      </c>
      <c r="AD5" s="33"/>
      <c r="AE5" s="33"/>
      <c r="AF5" s="33">
        <v>4</v>
      </c>
      <c r="AG5" s="33">
        <f t="shared" si="1"/>
        <v>46299</v>
      </c>
      <c r="AH5" s="33" t="e">
        <f ca="1">IF(OR(AF5&gt;$AD$4,AF5&gt;$AD$3),NA(),SUMIFS(OktTable[Jumlah (Rp)],OktTable[Tipe],"Pengeluaran",OktTable[Tanggal],"&lt;="&amp;AG5))</f>
        <v>#N/A</v>
      </c>
      <c r="AI5" s="33">
        <f>IF(AF5&gt;$AD$4,NA(),Rekap!$B$19/$AD$4*AF5)</f>
        <v>30612.903225806451</v>
      </c>
      <c r="AJ5" s="33" t="str">
        <f>Master!$A$9</f>
        <v>Kategori Uji 05</v>
      </c>
      <c r="AK5" s="33">
        <f>SUMIFS(OktTable[Jumlah (Rp)],OktTable[Tipe],"Pengeluaran",OktTable[Kategori],AJ5)</f>
        <v>0</v>
      </c>
      <c r="AL5" s="33">
        <f>SUMIFS(SepTable[Jumlah (Rp)],SepTable[Tipe],"Pengeluaran",SepTable[Kategori],AJ5)</f>
        <v>0</v>
      </c>
      <c r="AM5" s="33">
        <f t="shared" si="0"/>
        <v>5.0000000000000004E-6</v>
      </c>
      <c r="AN5" s="33">
        <f>SUMPRODUCT(MAX(($AM$1:$AM$23&lt;AN4)*$AM$1:$AM$23))</f>
        <v>1.9000000000000001E-5</v>
      </c>
      <c r="AO5" s="33">
        <f>IFERROR(MATCH(AN5,$AM$1:$AM$23,0),0)</f>
        <v>19</v>
      </c>
    </row>
    <row r="6" spans="1:41" ht="24.75" customHeight="1" x14ac:dyDescent="0.25">
      <c r="A6" s="5"/>
      <c r="B6" s="3"/>
      <c r="C6" s="3"/>
      <c r="D6" s="3"/>
      <c r="E6" s="6"/>
      <c r="F6" s="49"/>
      <c r="K6" s="40" t="s">
        <v>21</v>
      </c>
      <c r="L6" s="41"/>
      <c r="M6" s="42">
        <f>SUM(M3:M5)</f>
        <v>6000000</v>
      </c>
      <c r="N6" s="42">
        <f>SUM(N3:N5)</f>
        <v>0</v>
      </c>
      <c r="O6" s="42">
        <f ca="1">SUM(O3:O5)</f>
        <v>6000000</v>
      </c>
      <c r="P6" s="41"/>
      <c r="Q6" s="33"/>
      <c r="R6" s="36">
        <v>4</v>
      </c>
      <c r="S6" s="38">
        <f>IF($AE$9=0,"",INDEX(OktTable[Tanggal],$AE$9))</f>
        <v>0</v>
      </c>
      <c r="T6" s="35">
        <f>IF($AE$9=0,"",INDEX(OktTable[Kategori],$AE$9))</f>
        <v>0</v>
      </c>
      <c r="U6" s="37">
        <f>IF($AE$9=0,"",INDEX(OktTable[Jumlah (Rp)],$AE$9))</f>
        <v>0</v>
      </c>
      <c r="V6" s="35">
        <f>IF($AE$9=0,"",INDEX(OktTable[Keterangan],$AE$9))</f>
        <v>0</v>
      </c>
      <c r="AD6" s="33">
        <f>SUMPRODUCT(MAX((OktTable[Tipe]="Pengeluaran")*(OktTable[Jumlah (Rp)]+ROW(OktTable[Jumlah (Rp)])/1000000)))</f>
        <v>0</v>
      </c>
      <c r="AE6" s="33">
        <f>IFERROR(SUMPRODUCT(MATCH(AD6,(OktTable[Tipe]="Pengeluaran")*(OktTable[Jumlah (Rp)]+ROW(OktTable[Jumlah (Rp)])/1000000),0)),0)</f>
        <v>1</v>
      </c>
      <c r="AF6" s="33">
        <v>5</v>
      </c>
      <c r="AG6" s="33">
        <f t="shared" si="1"/>
        <v>46300</v>
      </c>
      <c r="AH6" s="33" t="e">
        <f ca="1">IF(OR(AF6&gt;$AD$4,AF6&gt;$AD$3),NA(),SUMIFS(OktTable[Jumlah (Rp)],OktTable[Tipe],"Pengeluaran",OktTable[Tanggal],"&lt;="&amp;AG6))</f>
        <v>#N/A</v>
      </c>
      <c r="AI6" s="33">
        <f>IF(AF6&gt;$AD$4,NA(),Rekap!$B$19/$AD$4*AF6)</f>
        <v>38266.129032258061</v>
      </c>
      <c r="AJ6" s="33" t="str">
        <f>Master!$A$10</f>
        <v>Kategori Uji 06</v>
      </c>
      <c r="AK6" s="33">
        <f>SUMIFS(OktTable[Jumlah (Rp)],OktTable[Tipe],"Pengeluaran",OktTable[Kategori],AJ6)</f>
        <v>0</v>
      </c>
      <c r="AL6" s="33">
        <f>SUMIFS(SepTable[Jumlah (Rp)],SepTable[Tipe],"Pengeluaran",SepTable[Kategori],AJ6)</f>
        <v>0</v>
      </c>
      <c r="AM6" s="33">
        <f t="shared" si="0"/>
        <v>6.0000000000000002E-6</v>
      </c>
      <c r="AN6" s="33"/>
      <c r="AO6" s="33"/>
    </row>
    <row r="7" spans="1:41" ht="24.75" customHeight="1" x14ac:dyDescent="0.25">
      <c r="A7" s="5"/>
      <c r="B7" s="3"/>
      <c r="C7" s="3"/>
      <c r="D7" s="3"/>
      <c r="E7" s="6"/>
      <c r="F7" s="4"/>
      <c r="K7" s="33"/>
      <c r="L7" s="33"/>
      <c r="M7" s="33"/>
      <c r="N7" s="33"/>
      <c r="O7" s="33"/>
      <c r="P7" s="33"/>
      <c r="Q7" s="33"/>
      <c r="R7" s="36">
        <v>5</v>
      </c>
      <c r="S7" s="38">
        <f>IF($AE$10=0,"",INDEX(OktTable[Tanggal],$AE$10))</f>
        <v>0</v>
      </c>
      <c r="T7" s="35">
        <f>IF($AE$10=0,"",INDEX(OktTable[Kategori],$AE$10))</f>
        <v>0</v>
      </c>
      <c r="U7" s="37">
        <f>IF($AE$10=0,"",INDEX(OktTable[Jumlah (Rp)],$AE$10))</f>
        <v>0</v>
      </c>
      <c r="V7" s="35">
        <f>IF($AE$10=0,"",INDEX(OktTable[Keterangan],$AE$10))</f>
        <v>0</v>
      </c>
      <c r="AD7" s="33">
        <f>SUMPRODUCT(MAX((OktTable[Tipe]="Pengeluaran")*((OktTable[Jumlah (Rp)]+ROW(OktTable[Jumlah (Rp)])/1000000)&lt;AD6)*(OktTable[Jumlah (Rp)]+ROW(OktTable[Jumlah (Rp)])/1000000)))</f>
        <v>0</v>
      </c>
      <c r="AE7" s="33">
        <f>IFERROR(SUMPRODUCT(MATCH(AD7,(OktTable[Tipe]="Pengeluaran")*(OktTable[Jumlah (Rp)]+ROW(OktTable[Jumlah (Rp)])/1000000),0)),0)</f>
        <v>1</v>
      </c>
      <c r="AF7" s="33">
        <v>6</v>
      </c>
      <c r="AG7" s="33">
        <f t="shared" si="1"/>
        <v>46301</v>
      </c>
      <c r="AH7" s="33" t="e">
        <f ca="1">IF(OR(AF7&gt;$AD$4,AF7&gt;$AD$3),NA(),SUMIFS(OktTable[Jumlah (Rp)],OktTable[Tipe],"Pengeluaran",OktTable[Tanggal],"&lt;="&amp;AG7))</f>
        <v>#N/A</v>
      </c>
      <c r="AI7" s="33">
        <f>IF(AF7&gt;$AD$4,NA(),Rekap!$B$19/$AD$4*AF7)</f>
        <v>45919.354838709674</v>
      </c>
      <c r="AJ7" s="33" t="str">
        <f>Master!$A$11</f>
        <v>Kategori Uji 07</v>
      </c>
      <c r="AK7" s="33">
        <f>SUMIFS(OktTable[Jumlah (Rp)],OktTable[Tipe],"Pengeluaran",OktTable[Kategori],AJ7)</f>
        <v>0</v>
      </c>
      <c r="AL7" s="33">
        <f>SUMIFS(SepTable[Jumlah (Rp)],SepTable[Tipe],"Pengeluaran",SepTable[Kategori],AJ7)</f>
        <v>0</v>
      </c>
      <c r="AM7" s="33">
        <f t="shared" si="0"/>
        <v>6.9999999999999999E-6</v>
      </c>
      <c r="AN7" s="33"/>
      <c r="AO7" s="33"/>
    </row>
    <row r="8" spans="1:41" ht="24.75" customHeight="1" x14ac:dyDescent="0.25">
      <c r="A8" s="5"/>
      <c r="B8" s="3"/>
      <c r="C8" s="3"/>
      <c r="D8" s="3"/>
      <c r="E8" s="6"/>
      <c r="F8" s="4"/>
      <c r="K8" s="43" t="s">
        <v>68</v>
      </c>
      <c r="L8" s="33"/>
      <c r="M8" s="33"/>
      <c r="N8" s="33"/>
      <c r="O8" s="33"/>
      <c r="P8" s="33"/>
      <c r="Q8" s="33"/>
      <c r="R8" s="52" t="s">
        <v>69</v>
      </c>
      <c r="S8" s="55"/>
      <c r="T8" s="55"/>
      <c r="U8" s="42">
        <f>SUM(U3:U7)</f>
        <v>0</v>
      </c>
      <c r="V8" s="44">
        <f>IFERROR(U8/$D$3,0)</f>
        <v>0</v>
      </c>
      <c r="AD8" s="33">
        <f>SUMPRODUCT(MAX((OktTable[Tipe]="Pengeluaran")*((OktTable[Jumlah (Rp)]+ROW(OktTable[Jumlah (Rp)])/1000000)&lt;AD7)*(OktTable[Jumlah (Rp)]+ROW(OktTable[Jumlah (Rp)])/1000000)))</f>
        <v>0</v>
      </c>
      <c r="AE8" s="33">
        <f>IFERROR(SUMPRODUCT(MATCH(AD8,(OktTable[Tipe]="Pengeluaran")*(OktTable[Jumlah (Rp)]+ROW(OktTable[Jumlah (Rp)])/1000000),0)),0)</f>
        <v>1</v>
      </c>
      <c r="AF8" s="33">
        <v>7</v>
      </c>
      <c r="AG8" s="33">
        <f t="shared" si="1"/>
        <v>46302</v>
      </c>
      <c r="AH8" s="33" t="e">
        <f ca="1">IF(OR(AF8&gt;$AD$4,AF8&gt;$AD$3),NA(),SUMIFS(OktTable[Jumlah (Rp)],OktTable[Tipe],"Pengeluaran",OktTable[Tanggal],"&lt;="&amp;AG8))</f>
        <v>#N/A</v>
      </c>
      <c r="AI8" s="33">
        <f>IF(AF8&gt;$AD$4,NA(),Rekap!$B$19/$AD$4*AF8)</f>
        <v>53572.580645161288</v>
      </c>
      <c r="AJ8" s="33" t="str">
        <f>Master!$A$12</f>
        <v>Kategori Uji 08</v>
      </c>
      <c r="AK8" s="33">
        <f>SUMIFS(OktTable[Jumlah (Rp)],OktTable[Tipe],"Pengeluaran",OktTable[Kategori],AJ8)</f>
        <v>0</v>
      </c>
      <c r="AL8" s="33">
        <f>SUMIFS(SepTable[Jumlah (Rp)],SepTable[Tipe],"Pengeluaran",SepTable[Kategori],AJ8)</f>
        <v>0</v>
      </c>
      <c r="AM8" s="33">
        <f t="shared" si="0"/>
        <v>7.9999999999999996E-6</v>
      </c>
      <c r="AN8" s="33"/>
      <c r="AO8" s="33"/>
    </row>
    <row r="9" spans="1:41" ht="24.75" customHeight="1" x14ac:dyDescent="0.25">
      <c r="A9" s="5"/>
      <c r="B9" s="3"/>
      <c r="C9" s="3"/>
      <c r="D9" s="3"/>
      <c r="E9" s="6"/>
      <c r="F9" s="4"/>
      <c r="K9" s="56" t="s">
        <v>61</v>
      </c>
      <c r="L9" s="53"/>
      <c r="M9" s="34" t="s">
        <v>70</v>
      </c>
      <c r="N9" s="33"/>
      <c r="O9" s="33"/>
      <c r="P9" s="33"/>
      <c r="Q9" s="33"/>
      <c r="R9" s="33"/>
      <c r="S9" s="33"/>
      <c r="T9" s="33"/>
      <c r="U9" s="33"/>
      <c r="V9" s="33"/>
      <c r="AD9" s="33">
        <f>SUMPRODUCT(MAX((OktTable[Tipe]="Pengeluaran")*((OktTable[Jumlah (Rp)]+ROW(OktTable[Jumlah (Rp)])/1000000)&lt;AD8)*(OktTable[Jumlah (Rp)]+ROW(OktTable[Jumlah (Rp)])/1000000)))</f>
        <v>0</v>
      </c>
      <c r="AE9" s="33">
        <f>IFERROR(SUMPRODUCT(MATCH(AD9,(OktTable[Tipe]="Pengeluaran")*(OktTable[Jumlah (Rp)]+ROW(OktTable[Jumlah (Rp)])/1000000),0)),0)</f>
        <v>1</v>
      </c>
      <c r="AF9" s="33">
        <v>8</v>
      </c>
      <c r="AG9" s="33">
        <f t="shared" si="1"/>
        <v>46303</v>
      </c>
      <c r="AH9" s="33" t="e">
        <f ca="1">IF(OR(AF9&gt;$AD$4,AF9&gt;$AD$3),NA(),SUMIFS(OktTable[Jumlah (Rp)],OktTable[Tipe],"Pengeluaran",OktTable[Tanggal],"&lt;="&amp;AG9))</f>
        <v>#N/A</v>
      </c>
      <c r="AI9" s="33">
        <f>IF(AF9&gt;$AD$4,NA(),Rekap!$B$19/$AD$4*AF9)</f>
        <v>61225.806451612902</v>
      </c>
      <c r="AJ9" s="33" t="str">
        <f>Master!$A$13</f>
        <v>Kategori Uji 09</v>
      </c>
      <c r="AK9" s="33">
        <f>SUMIFS(OktTable[Jumlah (Rp)],OktTable[Tipe],"Pengeluaran",OktTable[Kategori],AJ9)</f>
        <v>0</v>
      </c>
      <c r="AL9" s="33">
        <f>SUMIFS(SepTable[Jumlah (Rp)],SepTable[Tipe],"Pengeluaran",SepTable[Kategori],AJ9)</f>
        <v>0</v>
      </c>
      <c r="AM9" s="33">
        <f t="shared" si="0"/>
        <v>9.0000000000000002E-6</v>
      </c>
      <c r="AN9" s="33"/>
      <c r="AO9" s="33"/>
    </row>
    <row r="10" spans="1:41" ht="24.75" customHeight="1" x14ac:dyDescent="0.25">
      <c r="A10" s="5"/>
      <c r="B10" s="3"/>
      <c r="C10" s="3"/>
      <c r="D10" s="3"/>
      <c r="E10" s="6"/>
      <c r="F10" s="49"/>
      <c r="K10" s="54" t="str">
        <f>"Hari kerja "&amp;TEXT($AD$1-1,"mmmm")</f>
        <v>Hari kerja September</v>
      </c>
      <c r="L10" s="53"/>
      <c r="M10" s="45"/>
      <c r="N10" s="33"/>
      <c r="O10" s="33"/>
      <c r="P10" s="33"/>
      <c r="Q10" s="33"/>
      <c r="R10" s="32" t="s">
        <v>71</v>
      </c>
      <c r="S10" s="33"/>
      <c r="T10" s="33"/>
      <c r="U10" s="33"/>
      <c r="V10" s="33"/>
      <c r="AD10" s="33">
        <f>SUMPRODUCT(MAX((OktTable[Tipe]="Pengeluaran")*((OktTable[Jumlah (Rp)]+ROW(OktTable[Jumlah (Rp)])/1000000)&lt;AD9)*(OktTable[Jumlah (Rp)]+ROW(OktTable[Jumlah (Rp)])/1000000)))</f>
        <v>0</v>
      </c>
      <c r="AE10" s="33">
        <f>IFERROR(SUMPRODUCT(MATCH(AD10,(OktTable[Tipe]="Pengeluaran")*(OktTable[Jumlah (Rp)]+ROW(OktTable[Jumlah (Rp)])/1000000),0)),0)</f>
        <v>1</v>
      </c>
      <c r="AF10" s="33">
        <v>9</v>
      </c>
      <c r="AG10" s="33">
        <f t="shared" si="1"/>
        <v>46304</v>
      </c>
      <c r="AH10" s="33" t="e">
        <f ca="1">IF(OR(AF10&gt;$AD$4,AF10&gt;$AD$3),NA(),SUMIFS(OktTable[Jumlah (Rp)],OktTable[Tipe],"Pengeluaran",OktTable[Tanggal],"&lt;="&amp;AG10))</f>
        <v>#N/A</v>
      </c>
      <c r="AI10" s="33">
        <f>IF(AF10&gt;$AD$4,NA(),Rekap!$B$19/$AD$4*AF10)</f>
        <v>68879.032258064515</v>
      </c>
      <c r="AJ10" s="33" t="str">
        <f>Master!$A$14</f>
        <v>Kategori Uji 10</v>
      </c>
      <c r="AK10" s="33">
        <f>SUMIFS(OktTable[Jumlah (Rp)],OktTable[Tipe],"Pengeluaran",OktTable[Kategori],AJ10)</f>
        <v>0</v>
      </c>
      <c r="AL10" s="33">
        <f>SUMIFS(SepTable[Jumlah (Rp)],SepTable[Tipe],"Pengeluaran",SepTable[Kategori],AJ10)</f>
        <v>0</v>
      </c>
      <c r="AM10" s="33">
        <f t="shared" si="0"/>
        <v>1.0000000000000001E-5</v>
      </c>
      <c r="AN10" s="33"/>
      <c r="AO10" s="33"/>
    </row>
    <row r="11" spans="1:41" ht="24.75" customHeight="1" x14ac:dyDescent="0.25">
      <c r="A11" s="5"/>
      <c r="B11" s="3"/>
      <c r="C11" s="3"/>
      <c r="D11" s="3"/>
      <c r="E11" s="6"/>
      <c r="F11" s="49"/>
      <c r="K11" s="54" t="s">
        <v>72</v>
      </c>
      <c r="L11" s="53"/>
      <c r="M11" s="39">
        <v>50000</v>
      </c>
      <c r="N11" s="33"/>
      <c r="O11" s="33"/>
      <c r="P11" s="33"/>
      <c r="Q11" s="33"/>
      <c r="R11" s="34" t="s">
        <v>84</v>
      </c>
      <c r="S11" s="34" t="s">
        <v>33</v>
      </c>
      <c r="T11" s="34" t="s">
        <v>34</v>
      </c>
      <c r="U11" s="34" t="s">
        <v>5</v>
      </c>
      <c r="V11" s="34" t="s">
        <v>95</v>
      </c>
      <c r="AD11" s="33"/>
      <c r="AE11" s="33"/>
      <c r="AF11" s="33">
        <v>10</v>
      </c>
      <c r="AG11" s="33">
        <f t="shared" si="1"/>
        <v>46305</v>
      </c>
      <c r="AH11" s="33" t="e">
        <f ca="1">IF(OR(AF11&gt;$AD$4,AF11&gt;$AD$3),NA(),SUMIFS(OktTable[Jumlah (Rp)],OktTable[Tipe],"Pengeluaran",OktTable[Tanggal],"&lt;="&amp;AG11))</f>
        <v>#N/A</v>
      </c>
      <c r="AI11" s="33">
        <f>IF(AF11&gt;$AD$4,NA(),Rekap!$B$19/$AD$4*AF11)</f>
        <v>76532.258064516122</v>
      </c>
      <c r="AJ11" s="33" t="str">
        <f>Master!$A$15</f>
        <v>Kategori Uji 11</v>
      </c>
      <c r="AK11" s="33">
        <f>SUMIFS(OktTable[Jumlah (Rp)],OktTable[Tipe],"Pengeluaran",OktTable[Kategori],AJ11)</f>
        <v>0</v>
      </c>
      <c r="AL11" s="33">
        <f>SUMIFS(SepTable[Jumlah (Rp)],SepTable[Tipe],"Pengeluaran",SepTable[Kategori],AJ11)</f>
        <v>0</v>
      </c>
      <c r="AM11" s="33">
        <f t="shared" si="0"/>
        <v>1.1E-5</v>
      </c>
      <c r="AN11" s="33"/>
      <c r="AO11" s="33"/>
    </row>
    <row r="12" spans="1:41" ht="24.75" customHeight="1" x14ac:dyDescent="0.25">
      <c r="A12" s="5"/>
      <c r="B12" s="3"/>
      <c r="C12" s="3"/>
      <c r="D12" s="3"/>
      <c r="E12" s="6"/>
      <c r="F12" s="49"/>
      <c r="H12" s="9" t="s">
        <v>65</v>
      </c>
      <c r="I12" t="s">
        <v>118</v>
      </c>
      <c r="K12" s="33"/>
      <c r="L12" s="33"/>
      <c r="M12" s="33"/>
      <c r="N12" s="33"/>
      <c r="O12" s="33"/>
      <c r="P12" s="33"/>
      <c r="Q12" s="33"/>
      <c r="R12" s="35" t="s">
        <v>3</v>
      </c>
      <c r="S12" s="37">
        <f>SUMIFS(SepTable[Jumlah (Rp)],SepTable[Tipe],"Pemasukan")</f>
        <v>0</v>
      </c>
      <c r="T12" s="37">
        <f>SUMIFS(OktTable[Jumlah (Rp)],OktTable[Tipe],"Pemasukan")</f>
        <v>0</v>
      </c>
      <c r="U12" s="37">
        <f>T12-S12</f>
        <v>0</v>
      </c>
      <c r="V12" s="48" t="str">
        <f>IFERROR(U12/S12,"")</f>
        <v/>
      </c>
      <c r="AD12" s="33"/>
      <c r="AE12" s="33"/>
      <c r="AF12" s="33">
        <v>11</v>
      </c>
      <c r="AG12" s="33">
        <f t="shared" si="1"/>
        <v>46306</v>
      </c>
      <c r="AH12" s="33" t="e">
        <f ca="1">IF(OR(AF12&gt;$AD$4,AF12&gt;$AD$3),NA(),SUMIFS(OktTable[Jumlah (Rp)],OktTable[Tipe],"Pengeluaran",OktTable[Tanggal],"&lt;="&amp;AG12))</f>
        <v>#N/A</v>
      </c>
      <c r="AI12" s="33">
        <f>IF(AF12&gt;$AD$4,NA(),Rekap!$B$19/$AD$4*AF12)</f>
        <v>84185.483870967742</v>
      </c>
      <c r="AJ12" s="33" t="str">
        <f>Master!$A$16</f>
        <v>Kategori Uji 12</v>
      </c>
      <c r="AK12" s="33">
        <f>SUMIFS(OktTable[Jumlah (Rp)],OktTable[Tipe],"Pengeluaran",OktTable[Kategori],AJ12)</f>
        <v>0</v>
      </c>
      <c r="AL12" s="33">
        <f>SUMIFS(SepTable[Jumlah (Rp)],SepTable[Tipe],"Pengeluaran",SepTable[Kategori],AJ12)</f>
        <v>0</v>
      </c>
      <c r="AM12" s="33">
        <f t="shared" si="0"/>
        <v>1.2E-5</v>
      </c>
      <c r="AN12" s="33"/>
      <c r="AO12" s="33"/>
    </row>
    <row r="13" spans="1:41" ht="24.75" customHeight="1" x14ac:dyDescent="0.25">
      <c r="A13" s="5"/>
      <c r="B13" s="3"/>
      <c r="C13" s="3"/>
      <c r="D13" s="3"/>
      <c r="E13" s="6"/>
      <c r="F13" s="49"/>
      <c r="H13" s="57" t="s">
        <v>74</v>
      </c>
      <c r="I13" s="58"/>
      <c r="K13" s="43" t="s">
        <v>75</v>
      </c>
      <c r="L13" s="33"/>
      <c r="M13" s="33"/>
      <c r="N13" s="33"/>
      <c r="O13" s="33"/>
      <c r="P13" s="33"/>
      <c r="Q13" s="33"/>
      <c r="R13" s="35" t="s">
        <v>4</v>
      </c>
      <c r="S13" s="37">
        <f>SUMIFS(SepTable[Jumlah (Rp)],SepTable[Tipe],"Pengeluaran")</f>
        <v>400000</v>
      </c>
      <c r="T13" s="37">
        <f>SUMIFS(OktTable[Jumlah (Rp)],OktTable[Tipe],"Pengeluaran")</f>
        <v>0</v>
      </c>
      <c r="U13" s="37">
        <f>T13-S13</f>
        <v>-400000</v>
      </c>
      <c r="V13" s="48">
        <f>IFERROR(U13/S13,"")</f>
        <v>-1</v>
      </c>
      <c r="AD13" s="33"/>
      <c r="AE13" s="33"/>
      <c r="AF13" s="33">
        <v>12</v>
      </c>
      <c r="AG13" s="33">
        <f t="shared" si="1"/>
        <v>46307</v>
      </c>
      <c r="AH13" s="33" t="e">
        <f ca="1">IF(OR(AF13&gt;$AD$4,AF13&gt;$AD$3),NA(),SUMIFS(OktTable[Jumlah (Rp)],OktTable[Tipe],"Pengeluaran",OktTable[Tanggal],"&lt;="&amp;AG13))</f>
        <v>#N/A</v>
      </c>
      <c r="AI13" s="33">
        <f>IF(AF13&gt;$AD$4,NA(),Rekap!$B$19/$AD$4*AF13)</f>
        <v>91838.709677419349</v>
      </c>
      <c r="AJ13" s="33" t="str">
        <f>Master!$A$17</f>
        <v>Kategori Uji 13</v>
      </c>
      <c r="AK13" s="33">
        <f>SUMIFS(OktTable[Jumlah (Rp)],OktTable[Tipe],"Pengeluaran",OktTable[Kategori],AJ13)</f>
        <v>0</v>
      </c>
      <c r="AL13" s="33">
        <f>SUMIFS(SepTable[Jumlah (Rp)],SepTable[Tipe],"Pengeluaran",SepTable[Kategori],AJ13)</f>
        <v>0</v>
      </c>
      <c r="AM13" s="33">
        <f t="shared" si="0"/>
        <v>1.2999999999999999E-5</v>
      </c>
      <c r="AN13" s="33"/>
      <c r="AO13" s="33"/>
    </row>
    <row r="14" spans="1:41" ht="24.75" customHeight="1" x14ac:dyDescent="0.25">
      <c r="A14" s="5"/>
      <c r="B14" s="3"/>
      <c r="C14" s="3"/>
      <c r="D14" s="3"/>
      <c r="E14" s="6"/>
      <c r="F14" s="49"/>
      <c r="H14" s="9" t="s">
        <v>25</v>
      </c>
      <c r="I14" t="s">
        <v>76</v>
      </c>
      <c r="K14" s="56" t="s">
        <v>61</v>
      </c>
      <c r="L14" s="53"/>
      <c r="M14" s="34" t="s">
        <v>70</v>
      </c>
      <c r="N14" s="33"/>
      <c r="O14" s="33"/>
      <c r="P14" s="33"/>
      <c r="Q14" s="33"/>
      <c r="R14" s="35" t="s">
        <v>96</v>
      </c>
      <c r="S14" s="47">
        <f>COUNTA(SepTable[Tanggal])</f>
        <v>2</v>
      </c>
      <c r="T14" s="47">
        <f>COUNTA(OktTable[Tanggal])</f>
        <v>0</v>
      </c>
      <c r="U14" s="47">
        <f>T14-S14</f>
        <v>-2</v>
      </c>
      <c r="V14" s="48">
        <f>IFERROR(U14/S14,"")</f>
        <v>-1</v>
      </c>
      <c r="AD14" s="33"/>
      <c r="AE14" s="33"/>
      <c r="AF14" s="33">
        <v>13</v>
      </c>
      <c r="AG14" s="33">
        <f t="shared" si="1"/>
        <v>46308</v>
      </c>
      <c r="AH14" s="33" t="e">
        <f ca="1">IF(OR(AF14&gt;$AD$4,AF14&gt;$AD$3),NA(),SUMIFS(OktTable[Jumlah (Rp)],OktTable[Tipe],"Pengeluaran",OktTable[Tanggal],"&lt;="&amp;AG14))</f>
        <v>#N/A</v>
      </c>
      <c r="AI14" s="33">
        <f>IF(AF14&gt;$AD$4,NA(),Rekap!$B$19/$AD$4*AF14)</f>
        <v>99491.93548387097</v>
      </c>
      <c r="AJ14" s="33" t="str">
        <f>Master!$A$18</f>
        <v>Kategori Uji 14</v>
      </c>
      <c r="AK14" s="33">
        <f>SUMIFS(OktTable[Jumlah (Rp)],OktTable[Tipe],"Pengeluaran",OktTable[Kategori],AJ14)</f>
        <v>0</v>
      </c>
      <c r="AL14" s="33">
        <f>SUMIFS(SepTable[Jumlah (Rp)],SepTable[Tipe],"Pengeluaran",SepTable[Kategori],AJ14)</f>
        <v>0</v>
      </c>
      <c r="AM14" s="33">
        <f t="shared" si="0"/>
        <v>1.4E-5</v>
      </c>
      <c r="AN14" s="33"/>
      <c r="AO14" s="33"/>
    </row>
    <row r="15" spans="1:41" ht="24.75" customHeight="1" x14ac:dyDescent="0.25">
      <c r="A15" s="5"/>
      <c r="B15" s="3"/>
      <c r="C15" s="3"/>
      <c r="D15" s="3"/>
      <c r="E15" s="6"/>
      <c r="F15" s="49"/>
      <c r="H15" s="10" t="s">
        <v>119</v>
      </c>
      <c r="I15" s="7"/>
      <c r="K15" s="54" t="s">
        <v>77</v>
      </c>
      <c r="L15" s="53"/>
      <c r="M15" s="37">
        <f>D2</f>
        <v>0</v>
      </c>
      <c r="N15" s="33"/>
      <c r="O15" s="33"/>
      <c r="P15" s="33"/>
      <c r="Q15" s="33"/>
      <c r="R15" s="35" t="s">
        <v>97</v>
      </c>
      <c r="S15" s="37">
        <f>IFERROR(S13/S14,0)</f>
        <v>200000</v>
      </c>
      <c r="T15" s="37">
        <f>IFERROR(T13/T14,0)</f>
        <v>0</v>
      </c>
      <c r="U15" s="37">
        <f>T15-S15</f>
        <v>-200000</v>
      </c>
      <c r="V15" s="48">
        <f>IFERROR(U15/S15,"")</f>
        <v>-1</v>
      </c>
      <c r="AD15" s="33"/>
      <c r="AE15" s="33"/>
      <c r="AF15" s="33">
        <v>14</v>
      </c>
      <c r="AG15" s="33">
        <f t="shared" si="1"/>
        <v>46309</v>
      </c>
      <c r="AH15" s="33" t="e">
        <f ca="1">IF(OR(AF15&gt;$AD$4,AF15&gt;$AD$3),NA(),SUMIFS(OktTable[Jumlah (Rp)],OktTable[Tipe],"Pengeluaran",OktTable[Tanggal],"&lt;="&amp;AG15))</f>
        <v>#N/A</v>
      </c>
      <c r="AI15" s="33">
        <f>IF(AF15&gt;$AD$4,NA(),Rekap!$B$19/$AD$4*AF15)</f>
        <v>107145.16129032258</v>
      </c>
      <c r="AJ15" s="33" t="str">
        <f>Master!$A$19</f>
        <v>Kategori Uji 15</v>
      </c>
      <c r="AK15" s="33">
        <f>SUMIFS(OktTable[Jumlah (Rp)],OktTable[Tipe],"Pengeluaran",OktTable[Kategori],AJ15)</f>
        <v>0</v>
      </c>
      <c r="AL15" s="33">
        <f>SUMIFS(SepTable[Jumlah (Rp)],SepTable[Tipe],"Pengeluaran",SepTable[Kategori],AJ15)</f>
        <v>0</v>
      </c>
      <c r="AM15" s="33">
        <f t="shared" si="0"/>
        <v>1.5E-5</v>
      </c>
      <c r="AN15" s="33"/>
      <c r="AO15" s="33"/>
    </row>
    <row r="16" spans="1:41" ht="24.75" customHeight="1" x14ac:dyDescent="0.25">
      <c r="A16" s="5"/>
      <c r="B16" s="3"/>
      <c r="C16" s="3"/>
      <c r="D16" s="3"/>
      <c r="E16" s="6"/>
      <c r="F16" s="49"/>
      <c r="H16" s="10" t="s">
        <v>92</v>
      </c>
      <c r="I16" s="7"/>
      <c r="K16" s="54" t="s">
        <v>57</v>
      </c>
      <c r="L16" s="53"/>
      <c r="M16" s="37">
        <f ca="1">O6</f>
        <v>6000000</v>
      </c>
      <c r="N16" s="33"/>
      <c r="O16" s="33"/>
      <c r="P16" s="33"/>
      <c r="Q16" s="33"/>
      <c r="R16" s="33"/>
      <c r="S16" s="33"/>
      <c r="T16" s="33"/>
      <c r="U16" s="33"/>
      <c r="V16" s="33"/>
      <c r="AD16" s="33"/>
      <c r="AE16" s="33"/>
      <c r="AF16" s="33">
        <v>15</v>
      </c>
      <c r="AG16" s="33">
        <f t="shared" si="1"/>
        <v>46310</v>
      </c>
      <c r="AH16" s="33" t="e">
        <f ca="1">IF(OR(AF16&gt;$AD$4,AF16&gt;$AD$3),NA(),SUMIFS(OktTable[Jumlah (Rp)],OktTable[Tipe],"Pengeluaran",OktTable[Tanggal],"&lt;="&amp;AG16))</f>
        <v>#N/A</v>
      </c>
      <c r="AI16" s="33">
        <f>IF(AF16&gt;$AD$4,NA(),Rekap!$B$19/$AD$4*AF16)</f>
        <v>114798.3870967742</v>
      </c>
      <c r="AJ16" s="33" t="str">
        <f>Master!$A$20</f>
        <v>Kategori Uji 16</v>
      </c>
      <c r="AK16" s="33">
        <f>SUMIFS(OktTable[Jumlah (Rp)],OktTable[Tipe],"Pengeluaran",OktTable[Kategori],AJ16)</f>
        <v>0</v>
      </c>
      <c r="AL16" s="33">
        <f>SUMIFS(SepTable[Jumlah (Rp)],SepTable[Tipe],"Pengeluaran",SepTable[Kategori],AJ16)</f>
        <v>0</v>
      </c>
      <c r="AM16" s="33">
        <f t="shared" si="0"/>
        <v>1.5999999999999999E-5</v>
      </c>
      <c r="AN16" s="33"/>
      <c r="AO16" s="33"/>
    </row>
    <row r="17" spans="1:41" ht="24.75" customHeight="1" x14ac:dyDescent="0.25">
      <c r="A17" s="5"/>
      <c r="B17" s="3"/>
      <c r="C17" s="3"/>
      <c r="D17" s="3"/>
      <c r="E17" s="6"/>
      <c r="F17" s="49"/>
      <c r="H17" s="10"/>
      <c r="I17" s="7"/>
      <c r="K17" s="54" t="s">
        <v>78</v>
      </c>
      <c r="L17" s="53"/>
      <c r="M17" s="37">
        <f ca="1">M15+M16</f>
        <v>6000000</v>
      </c>
      <c r="N17" s="33"/>
      <c r="O17" s="33"/>
      <c r="P17" s="33"/>
      <c r="Q17" s="33"/>
      <c r="R17" s="43" t="s">
        <v>98</v>
      </c>
      <c r="S17" s="33"/>
      <c r="T17" s="33"/>
      <c r="U17" s="33"/>
      <c r="V17" s="33"/>
      <c r="AD17" s="33"/>
      <c r="AE17" s="33"/>
      <c r="AF17" s="33">
        <v>16</v>
      </c>
      <c r="AG17" s="33">
        <f t="shared" si="1"/>
        <v>46311</v>
      </c>
      <c r="AH17" s="33" t="e">
        <f ca="1">IF(OR(AF17&gt;$AD$4,AF17&gt;$AD$3),NA(),SUMIFS(OktTable[Jumlah (Rp)],OktTable[Tipe],"Pengeluaran",OktTable[Tanggal],"&lt;="&amp;AG17))</f>
        <v>#N/A</v>
      </c>
      <c r="AI17" s="33">
        <f>IF(AF17&gt;$AD$4,NA(),Rekap!$B$19/$AD$4*AF17)</f>
        <v>122451.6129032258</v>
      </c>
      <c r="AJ17" s="33" t="str">
        <f>Master!$A$21</f>
        <v>Kategori Uji 17</v>
      </c>
      <c r="AK17" s="33">
        <f>SUMIFS(OktTable[Jumlah (Rp)],OktTable[Tipe],"Pengeluaran",OktTable[Kategori],AJ17)</f>
        <v>0</v>
      </c>
      <c r="AL17" s="33">
        <f>SUMIFS(SepTable[Jumlah (Rp)],SepTable[Tipe],"Pengeluaran",SepTable[Kategori],AJ17)</f>
        <v>0</v>
      </c>
      <c r="AM17" s="33">
        <f t="shared" si="0"/>
        <v>1.7E-5</v>
      </c>
      <c r="AN17" s="33"/>
      <c r="AO17" s="33"/>
    </row>
    <row r="18" spans="1:41" ht="24.75" customHeight="1" x14ac:dyDescent="0.25">
      <c r="A18" s="5"/>
      <c r="B18" s="3"/>
      <c r="C18" s="3"/>
      <c r="D18" s="3"/>
      <c r="E18" s="6"/>
      <c r="F18" s="49"/>
      <c r="H18" s="10"/>
      <c r="I18" s="7"/>
      <c r="K18" s="54" t="s">
        <v>79</v>
      </c>
      <c r="L18" s="53"/>
      <c r="M18" s="37">
        <f ca="1">M29</f>
        <v>0</v>
      </c>
      <c r="N18" s="33"/>
      <c r="O18" s="33"/>
      <c r="P18" s="33"/>
      <c r="Q18" s="33"/>
      <c r="R18" s="34" t="s">
        <v>25</v>
      </c>
      <c r="S18" s="34" t="s">
        <v>33</v>
      </c>
      <c r="T18" s="34" t="s">
        <v>34</v>
      </c>
      <c r="U18" s="34" t="s">
        <v>5</v>
      </c>
      <c r="V18" s="34" t="s">
        <v>95</v>
      </c>
      <c r="AD18" s="33"/>
      <c r="AE18" s="33"/>
      <c r="AF18" s="33">
        <v>17</v>
      </c>
      <c r="AG18" s="33">
        <f t="shared" si="1"/>
        <v>46312</v>
      </c>
      <c r="AH18" s="33" t="e">
        <f ca="1">IF(OR(AF18&gt;$AD$4,AF18&gt;$AD$3),NA(),SUMIFS(OktTable[Jumlah (Rp)],OktTable[Tipe],"Pengeluaran",OktTable[Tanggal],"&lt;="&amp;AG18))</f>
        <v>#N/A</v>
      </c>
      <c r="AI18" s="33">
        <f>IF(AF18&gt;$AD$4,NA(),Rekap!$B$19/$AD$4*AF18)</f>
        <v>130104.83870967741</v>
      </c>
      <c r="AJ18" s="33" t="str">
        <f>Master!$A$22</f>
        <v>Kategori Uji 18</v>
      </c>
      <c r="AK18" s="33">
        <f>SUMIFS(OktTable[Jumlah (Rp)],OktTable[Tipe],"Pengeluaran",OktTable[Kategori],AJ18)</f>
        <v>0</v>
      </c>
      <c r="AL18" s="33">
        <f>SUMIFS(SepTable[Jumlah (Rp)],SepTable[Tipe],"Pengeluaran",SepTable[Kategori],AJ18)</f>
        <v>0</v>
      </c>
      <c r="AM18" s="33">
        <f t="shared" si="0"/>
        <v>1.8E-5</v>
      </c>
      <c r="AN18" s="33"/>
      <c r="AO18" s="33"/>
    </row>
    <row r="19" spans="1:41" ht="24.75" customHeight="1" x14ac:dyDescent="0.25">
      <c r="A19" s="5"/>
      <c r="B19" s="3"/>
      <c r="C19" s="3"/>
      <c r="D19" s="3"/>
      <c r="E19" s="6"/>
      <c r="F19" s="49"/>
      <c r="H19" s="10"/>
      <c r="I19" s="7"/>
      <c r="K19" s="52" t="s">
        <v>80</v>
      </c>
      <c r="L19" s="53"/>
      <c r="M19" s="42">
        <f ca="1">M17-M18</f>
        <v>6000000</v>
      </c>
      <c r="N19" s="33"/>
      <c r="O19" s="33"/>
      <c r="P19" s="33"/>
      <c r="Q19" s="33"/>
      <c r="R19" s="35" t="str">
        <f>IF($AO$1=0,"",INDEX($AJ$1:$AJ$23,$AO$1))</f>
        <v>Kategori Uji 24</v>
      </c>
      <c r="S19" s="37">
        <f>IF($AO$1=0,"",INDEX($AL$1:$AL$23,$AO$1))</f>
        <v>0</v>
      </c>
      <c r="T19" s="37">
        <f>IF($AO$1=0,"",INDEX($AK$1:$AK$23,$AO$1))</f>
        <v>0</v>
      </c>
      <c r="U19" s="37">
        <f>IF($R19="","",T19-S19)</f>
        <v>0</v>
      </c>
      <c r="V19" s="48" t="str">
        <f>IFERROR(U19/S19,"")</f>
        <v/>
      </c>
      <c r="AD19" s="33"/>
      <c r="AE19" s="33"/>
      <c r="AF19" s="33">
        <v>18</v>
      </c>
      <c r="AG19" s="33">
        <f t="shared" si="1"/>
        <v>46313</v>
      </c>
      <c r="AH19" s="33" t="e">
        <f ca="1">IF(OR(AF19&gt;$AD$4,AF19&gt;$AD$3),NA(),SUMIFS(OktTable[Jumlah (Rp)],OktTable[Tipe],"Pengeluaran",OktTable[Tanggal],"&lt;="&amp;AG19))</f>
        <v>#N/A</v>
      </c>
      <c r="AI19" s="33">
        <f>IF(AF19&gt;$AD$4,NA(),Rekap!$B$19/$AD$4*AF19)</f>
        <v>137758.06451612903</v>
      </c>
      <c r="AJ19" s="33" t="str">
        <f>Master!$A$23</f>
        <v>Kategori Uji 19</v>
      </c>
      <c r="AK19" s="33">
        <f>SUMIFS(OktTable[Jumlah (Rp)],OktTable[Tipe],"Pengeluaran",OktTable[Kategori],AJ19)</f>
        <v>0</v>
      </c>
      <c r="AL19" s="33">
        <f>SUMIFS(SepTable[Jumlah (Rp)],SepTable[Tipe],"Pengeluaran",SepTable[Kategori],AJ19)</f>
        <v>0</v>
      </c>
      <c r="AM19" s="33">
        <f t="shared" si="0"/>
        <v>1.9000000000000001E-5</v>
      </c>
      <c r="AN19" s="33"/>
      <c r="AO19" s="33"/>
    </row>
    <row r="20" spans="1:41" ht="24.75" customHeight="1" x14ac:dyDescent="0.25">
      <c r="A20" s="5"/>
      <c r="B20" s="3"/>
      <c r="C20" s="3"/>
      <c r="D20" s="3"/>
      <c r="E20" s="6"/>
      <c r="F20" s="49"/>
      <c r="H20" s="10"/>
      <c r="I20" s="7"/>
      <c r="K20" s="52" t="s">
        <v>81</v>
      </c>
      <c r="L20" s="53"/>
      <c r="M20" s="42">
        <f ca="1">D1+M17-M18</f>
        <v>6000000</v>
      </c>
      <c r="N20" s="33"/>
      <c r="O20" s="33"/>
      <c r="P20" s="33"/>
      <c r="Q20" s="33"/>
      <c r="R20" s="35" t="str">
        <f>IF($AO$2=0,"",INDEX($AJ$1:$AJ$23,$AO$2))</f>
        <v>Kategori Uji 23</v>
      </c>
      <c r="S20" s="37">
        <f>IF($AO$2=0,"",INDEX($AL$1:$AL$23,$AO$2))</f>
        <v>0</v>
      </c>
      <c r="T20" s="37">
        <f>IF($AO$2=0,"",INDEX($AK$1:$AK$23,$AO$2))</f>
        <v>0</v>
      </c>
      <c r="U20" s="37">
        <f>IF($R20="","",T20-S20)</f>
        <v>0</v>
      </c>
      <c r="V20" s="48" t="str">
        <f>IFERROR(U20/S20,"")</f>
        <v/>
      </c>
      <c r="AD20" s="33"/>
      <c r="AE20" s="33"/>
      <c r="AF20" s="33">
        <v>19</v>
      </c>
      <c r="AG20" s="33">
        <f t="shared" si="1"/>
        <v>46314</v>
      </c>
      <c r="AH20" s="33" t="e">
        <f ca="1">IF(OR(AF20&gt;$AD$4,AF20&gt;$AD$3),NA(),SUMIFS(OktTable[Jumlah (Rp)],OktTable[Tipe],"Pengeluaran",OktTable[Tanggal],"&lt;="&amp;AG20))</f>
        <v>#N/A</v>
      </c>
      <c r="AI20" s="33">
        <f>IF(AF20&gt;$AD$4,NA(),Rekap!$B$19/$AD$4*AF20)</f>
        <v>145411.29032258064</v>
      </c>
      <c r="AJ20" s="33" t="str">
        <f>Master!$A$24</f>
        <v>Kategori Uji 20</v>
      </c>
      <c r="AK20" s="33">
        <f>SUMIFS(OktTable[Jumlah (Rp)],OktTable[Tipe],"Pengeluaran",OktTable[Kategori],AJ20)</f>
        <v>0</v>
      </c>
      <c r="AL20" s="33">
        <f>SUMIFS(SepTable[Jumlah (Rp)],SepTable[Tipe],"Pengeluaran",SepTable[Kategori],AJ20)</f>
        <v>0</v>
      </c>
      <c r="AM20" s="33">
        <f t="shared" si="0"/>
        <v>2.0000000000000002E-5</v>
      </c>
      <c r="AN20" s="33"/>
      <c r="AO20" s="33"/>
    </row>
    <row r="21" spans="1:41" ht="24.75" customHeight="1" x14ac:dyDescent="0.25">
      <c r="A21" s="5"/>
      <c r="B21" s="3"/>
      <c r="C21" s="3"/>
      <c r="D21" s="3"/>
      <c r="E21" s="6"/>
      <c r="F21" s="49"/>
      <c r="H21" s="10"/>
      <c r="I21" s="7"/>
      <c r="K21" s="46" t="s">
        <v>82</v>
      </c>
      <c r="L21" s="33"/>
      <c r="M21" s="33"/>
      <c r="N21" s="33"/>
      <c r="O21" s="33"/>
      <c r="P21" s="33"/>
      <c r="Q21" s="33"/>
      <c r="R21" s="35" t="str">
        <f>IF($AO$3=0,"",INDEX($AJ$1:$AJ$23,$AO$3))</f>
        <v>Kategori Uji 21</v>
      </c>
      <c r="S21" s="37">
        <f>IF($AO$3=0,"",INDEX($AL$1:$AL$23,$AO$3))</f>
        <v>0</v>
      </c>
      <c r="T21" s="37">
        <f>IF($AO$3=0,"",INDEX($AK$1:$AK$23,$AO$3))</f>
        <v>0</v>
      </c>
      <c r="U21" s="37">
        <f>IF($R21="","",T21-S21)</f>
        <v>0</v>
      </c>
      <c r="V21" s="48" t="str">
        <f>IFERROR(U21/S21,"")</f>
        <v/>
      </c>
      <c r="AD21" s="33"/>
      <c r="AE21" s="33"/>
      <c r="AF21" s="33">
        <v>20</v>
      </c>
      <c r="AG21" s="33">
        <f t="shared" si="1"/>
        <v>46315</v>
      </c>
      <c r="AH21" s="33" t="e">
        <f ca="1">IF(OR(AF21&gt;$AD$4,AF21&gt;$AD$3),NA(),SUMIFS(OktTable[Jumlah (Rp)],OktTable[Tipe],"Pengeluaran",OktTable[Tanggal],"&lt;="&amp;AG21))</f>
        <v>#N/A</v>
      </c>
      <c r="AI21" s="33">
        <f>IF(AF21&gt;$AD$4,NA(),Rekap!$B$19/$AD$4*AF21)</f>
        <v>153064.51612903224</v>
      </c>
      <c r="AJ21" s="33" t="str">
        <f>Master!$A$25</f>
        <v>Kategori Uji 21</v>
      </c>
      <c r="AK21" s="33">
        <f>SUMIFS(OktTable[Jumlah (Rp)],OktTable[Tipe],"Pengeluaran",OktTable[Kategori],AJ21)</f>
        <v>0</v>
      </c>
      <c r="AL21" s="33">
        <f>SUMIFS(SepTable[Jumlah (Rp)],SepTable[Tipe],"Pengeluaran",SepTable[Kategori],AJ21)</f>
        <v>0</v>
      </c>
      <c r="AM21" s="33">
        <f t="shared" si="0"/>
        <v>2.0999999999999999E-5</v>
      </c>
      <c r="AN21" s="33"/>
      <c r="AO21" s="33"/>
    </row>
    <row r="22" spans="1:41" ht="24.75" customHeight="1" x14ac:dyDescent="0.25">
      <c r="A22" s="5"/>
      <c r="B22" s="3"/>
      <c r="C22" s="3"/>
      <c r="D22" s="3"/>
      <c r="E22" s="6"/>
      <c r="F22" s="49"/>
      <c r="H22" s="10"/>
      <c r="I22" s="7"/>
      <c r="K22" s="33"/>
      <c r="L22" s="33"/>
      <c r="M22" s="33"/>
      <c r="N22" s="33"/>
      <c r="O22" s="33"/>
      <c r="P22" s="33"/>
      <c r="Q22" s="33"/>
      <c r="R22" s="35" t="str">
        <f>IF($AO$4=0,"",INDEX($AJ$1:$AJ$23,$AO$4))</f>
        <v>Kategori Uji 20</v>
      </c>
      <c r="S22" s="37">
        <f>IF($AO$4=0,"",INDEX($AL$1:$AL$23,$AO$4))</f>
        <v>0</v>
      </c>
      <c r="T22" s="37">
        <f>IF($AO$4=0,"",INDEX($AK$1:$AK$23,$AO$4))</f>
        <v>0</v>
      </c>
      <c r="U22" s="37">
        <f>IF($R22="","",T22-S22)</f>
        <v>0</v>
      </c>
      <c r="V22" s="48" t="str">
        <f>IFERROR(U22/S22,"")</f>
        <v/>
      </c>
      <c r="AD22" s="33"/>
      <c r="AE22" s="33"/>
      <c r="AF22" s="33">
        <v>21</v>
      </c>
      <c r="AG22" s="33">
        <f t="shared" si="1"/>
        <v>46316</v>
      </c>
      <c r="AH22" s="33" t="e">
        <f ca="1">IF(OR(AF22&gt;$AD$4,AF22&gt;$AD$3),NA(),SUMIFS(OktTable[Jumlah (Rp)],OktTable[Tipe],"Pengeluaran",OktTable[Tanggal],"&lt;="&amp;AG22))</f>
        <v>#N/A</v>
      </c>
      <c r="AI22" s="33">
        <f>IF(AF22&gt;$AD$4,NA(),Rekap!$B$19/$AD$4*AF22)</f>
        <v>160717.74193548388</v>
      </c>
      <c r="AJ22" s="33" t="str">
        <f>Master!$A$27</f>
        <v>Kategori Uji 23</v>
      </c>
      <c r="AK22" s="33">
        <f>SUMIFS(OktTable[Jumlah (Rp)],OktTable[Tipe],"Pengeluaran",OktTable[Kategori],AJ22)</f>
        <v>0</v>
      </c>
      <c r="AL22" s="33">
        <f>SUMIFS(SepTable[Jumlah (Rp)],SepTable[Tipe],"Pengeluaran",SepTable[Kategori],AJ22)</f>
        <v>0</v>
      </c>
      <c r="AM22" s="33">
        <f t="shared" si="0"/>
        <v>2.1999999999999999E-5</v>
      </c>
      <c r="AN22" s="33"/>
      <c r="AO22" s="33"/>
    </row>
    <row r="23" spans="1:41" ht="24.75" customHeight="1" x14ac:dyDescent="0.25">
      <c r="A23" s="5"/>
      <c r="B23" s="3"/>
      <c r="C23" s="3"/>
      <c r="D23" s="3"/>
      <c r="E23" s="6"/>
      <c r="F23" s="49"/>
      <c r="H23" s="10"/>
      <c r="I23" s="7"/>
      <c r="K23" s="32" t="s">
        <v>83</v>
      </c>
      <c r="L23" s="33"/>
      <c r="M23" s="33"/>
      <c r="N23" s="33"/>
      <c r="O23" s="33"/>
      <c r="P23" s="33"/>
      <c r="Q23" s="33"/>
      <c r="R23" s="35" t="str">
        <f>IF($AO$5=0,"",INDEX($AJ$1:$AJ$23,$AO$5))</f>
        <v>Kategori Uji 19</v>
      </c>
      <c r="S23" s="37">
        <f>IF($AO$5=0,"",INDEX($AL$1:$AL$23,$AO$5))</f>
        <v>0</v>
      </c>
      <c r="T23" s="37">
        <f>IF($AO$5=0,"",INDEX($AK$1:$AK$23,$AO$5))</f>
        <v>0</v>
      </c>
      <c r="U23" s="37">
        <f>IF($R23="","",T23-S23)</f>
        <v>0</v>
      </c>
      <c r="V23" s="48" t="str">
        <f>IFERROR(U23/S23,"")</f>
        <v/>
      </c>
      <c r="AD23" s="33"/>
      <c r="AE23" s="33"/>
      <c r="AF23" s="33">
        <v>22</v>
      </c>
      <c r="AG23" s="33">
        <f t="shared" si="1"/>
        <v>46317</v>
      </c>
      <c r="AH23" s="33" t="e">
        <f ca="1">IF(OR(AF23&gt;$AD$4,AF23&gt;$AD$3),NA(),SUMIFS(OktTable[Jumlah (Rp)],OktTable[Tipe],"Pengeluaran",OktTable[Tanggal],"&lt;="&amp;AG23))</f>
        <v>#N/A</v>
      </c>
      <c r="AI23" s="33">
        <f>IF(AF23&gt;$AD$4,NA(),Rekap!$B$19/$AD$4*AF23)</f>
        <v>168370.96774193548</v>
      </c>
      <c r="AJ23" s="33" t="str">
        <f>Master!$A$28</f>
        <v>Kategori Uji 24</v>
      </c>
      <c r="AK23" s="33">
        <f>SUMIFS(OktTable[Jumlah (Rp)],OktTable[Tipe],"Pengeluaran",OktTable[Kategori],AJ23)</f>
        <v>0</v>
      </c>
      <c r="AL23" s="33">
        <f>SUMIFS(SepTable[Jumlah (Rp)],SepTable[Tipe],"Pengeluaran",SepTable[Kategori],AJ23)</f>
        <v>0</v>
      </c>
      <c r="AM23" s="33">
        <f t="shared" si="0"/>
        <v>2.3E-5</v>
      </c>
      <c r="AN23" s="33"/>
      <c r="AO23" s="33"/>
    </row>
    <row r="24" spans="1:41" ht="24.75" customHeight="1" x14ac:dyDescent="0.25">
      <c r="A24" s="5"/>
      <c r="B24" s="3"/>
      <c r="C24" s="3"/>
      <c r="D24" s="3"/>
      <c r="E24" s="6"/>
      <c r="F24" s="49"/>
      <c r="H24" s="10"/>
      <c r="I24" s="7"/>
      <c r="K24" s="56" t="s">
        <v>84</v>
      </c>
      <c r="L24" s="53"/>
      <c r="M24" s="34" t="s">
        <v>70</v>
      </c>
      <c r="N24" s="33"/>
      <c r="O24" s="33"/>
      <c r="P24" s="33"/>
      <c r="Q24" s="33"/>
      <c r="R24" s="33"/>
      <c r="S24" s="33"/>
      <c r="T24" s="33"/>
      <c r="U24" s="33"/>
      <c r="V24" s="33"/>
      <c r="AD24" s="33"/>
      <c r="AE24" s="33"/>
      <c r="AF24" s="33">
        <v>23</v>
      </c>
      <c r="AG24" s="33">
        <f t="shared" si="1"/>
        <v>46318</v>
      </c>
      <c r="AH24" s="33" t="e">
        <f ca="1">IF(OR(AF24&gt;$AD$4,AF24&gt;$AD$3),NA(),SUMIFS(OktTable[Jumlah (Rp)],OktTable[Tipe],"Pengeluaran",OktTable[Tanggal],"&lt;="&amp;AG24))</f>
        <v>#N/A</v>
      </c>
      <c r="AI24" s="33">
        <f>IF(AF24&gt;$AD$4,NA(),Rekap!$B$19/$AD$4*AF24)</f>
        <v>176024.19354838709</v>
      </c>
      <c r="AJ24" s="33"/>
      <c r="AK24" s="33"/>
      <c r="AL24" s="33"/>
      <c r="AM24" s="33"/>
      <c r="AN24" s="33"/>
      <c r="AO24" s="33"/>
    </row>
    <row r="25" spans="1:41" ht="24.75" customHeight="1" x14ac:dyDescent="0.25">
      <c r="A25" s="5"/>
      <c r="B25" s="3"/>
      <c r="C25" s="3"/>
      <c r="D25" s="3"/>
      <c r="E25" s="6"/>
      <c r="F25" s="49"/>
      <c r="H25" s="10"/>
      <c r="I25" s="7"/>
      <c r="K25" s="54" t="s">
        <v>85</v>
      </c>
      <c r="L25" s="53"/>
      <c r="M25" s="47">
        <f ca="1">AD3</f>
        <v>0</v>
      </c>
      <c r="N25" s="33"/>
      <c r="O25" s="33"/>
      <c r="P25" s="33"/>
      <c r="Q25" s="33"/>
      <c r="R25" s="32" t="s">
        <v>86</v>
      </c>
      <c r="S25" s="33"/>
      <c r="T25" s="33"/>
      <c r="U25" s="33"/>
      <c r="V25" s="33"/>
      <c r="AD25" s="33"/>
      <c r="AE25" s="33"/>
      <c r="AF25" s="33">
        <v>24</v>
      </c>
      <c r="AG25" s="33">
        <f t="shared" si="1"/>
        <v>46319</v>
      </c>
      <c r="AH25" s="33" t="e">
        <f ca="1">IF(OR(AF25&gt;$AD$4,AF25&gt;$AD$3),NA(),SUMIFS(OktTable[Jumlah (Rp)],OktTable[Tipe],"Pengeluaran",OktTable[Tanggal],"&lt;="&amp;AG25))</f>
        <v>#N/A</v>
      </c>
      <c r="AI25" s="33">
        <f>IF(AF25&gt;$AD$4,NA(),Rekap!$B$19/$AD$4*AF25)</f>
        <v>183677.4193548387</v>
      </c>
      <c r="AJ25" s="33"/>
      <c r="AK25" s="33"/>
      <c r="AL25" s="33"/>
      <c r="AM25" s="33"/>
      <c r="AN25" s="33"/>
      <c r="AO25" s="33"/>
    </row>
    <row r="26" spans="1:41" ht="24.75" customHeight="1" x14ac:dyDescent="0.25">
      <c r="A26" s="5"/>
      <c r="B26" s="3"/>
      <c r="C26" s="3"/>
      <c r="D26" s="3"/>
      <c r="E26" s="6"/>
      <c r="F26" s="49"/>
      <c r="H26" s="10"/>
      <c r="I26" s="7"/>
      <c r="K26" s="54" t="s">
        <v>87</v>
      </c>
      <c r="L26" s="53"/>
      <c r="M26" s="47">
        <f>AD4</f>
        <v>31</v>
      </c>
      <c r="N26" s="33"/>
      <c r="O26" s="33"/>
      <c r="P26" s="33"/>
      <c r="Q26" s="33"/>
      <c r="R26" s="33"/>
      <c r="S26" s="33"/>
      <c r="T26" s="33"/>
      <c r="U26" s="33"/>
      <c r="V26" s="33"/>
      <c r="AD26" s="33"/>
      <c r="AE26" s="33"/>
      <c r="AF26" s="33">
        <v>25</v>
      </c>
      <c r="AG26" s="33">
        <f t="shared" si="1"/>
        <v>46320</v>
      </c>
      <c r="AH26" s="33" t="e">
        <f ca="1">IF(OR(AF26&gt;$AD$4,AF26&gt;$AD$3),NA(),SUMIFS(OktTable[Jumlah (Rp)],OktTable[Tipe],"Pengeluaran",OktTable[Tanggal],"&lt;="&amp;AG26))</f>
        <v>#N/A</v>
      </c>
      <c r="AI26" s="33">
        <f>IF(AF26&gt;$AD$4,NA(),Rekap!$B$19/$AD$4*AF26)</f>
        <v>191330.6451612903</v>
      </c>
      <c r="AJ26" s="33"/>
      <c r="AK26" s="33"/>
      <c r="AL26" s="33"/>
      <c r="AM26" s="33"/>
      <c r="AN26" s="33"/>
      <c r="AO26" s="33"/>
    </row>
    <row r="27" spans="1:41" ht="24.75" customHeight="1" x14ac:dyDescent="0.25">
      <c r="A27" s="5"/>
      <c r="B27" s="3"/>
      <c r="C27" s="3"/>
      <c r="D27" s="3"/>
      <c r="E27" s="6"/>
      <c r="F27" s="49"/>
      <c r="H27" s="10"/>
      <c r="I27" s="7"/>
      <c r="K27" s="54" t="s">
        <v>88</v>
      </c>
      <c r="L27" s="53"/>
      <c r="M27" s="37">
        <f>D3</f>
        <v>0</v>
      </c>
      <c r="N27" s="33"/>
      <c r="O27" s="33"/>
      <c r="P27" s="33"/>
      <c r="Q27" s="33"/>
      <c r="R27" s="33"/>
      <c r="S27" s="33"/>
      <c r="T27" s="33"/>
      <c r="U27" s="33"/>
      <c r="V27" s="33"/>
      <c r="AD27" s="33"/>
      <c r="AE27" s="33"/>
      <c r="AF27" s="33">
        <v>26</v>
      </c>
      <c r="AG27" s="33">
        <f t="shared" si="1"/>
        <v>46321</v>
      </c>
      <c r="AH27" s="33" t="e">
        <f ca="1">IF(OR(AF27&gt;$AD$4,AF27&gt;$AD$3),NA(),SUMIFS(OktTable[Jumlah (Rp)],OktTable[Tipe],"Pengeluaran",OktTable[Tanggal],"&lt;="&amp;AG27))</f>
        <v>#N/A</v>
      </c>
      <c r="AI27" s="33">
        <f>IF(AF27&gt;$AD$4,NA(),Rekap!$B$19/$AD$4*AF27)</f>
        <v>198983.87096774194</v>
      </c>
      <c r="AJ27" s="33"/>
      <c r="AK27" s="33"/>
      <c r="AL27" s="33"/>
      <c r="AM27" s="33"/>
      <c r="AN27" s="33"/>
      <c r="AO27" s="33"/>
    </row>
    <row r="28" spans="1:41" ht="24.75" customHeight="1" x14ac:dyDescent="0.25">
      <c r="A28" s="5"/>
      <c r="B28" s="3"/>
      <c r="C28" s="3"/>
      <c r="D28" s="3"/>
      <c r="E28" s="6"/>
      <c r="F28" s="49"/>
      <c r="K28" s="54" t="s">
        <v>89</v>
      </c>
      <c r="L28" s="53"/>
      <c r="M28" s="37">
        <f ca="1">IFERROR(M27/M25,0)</f>
        <v>0</v>
      </c>
      <c r="N28" s="33"/>
      <c r="O28" s="33"/>
      <c r="P28" s="33"/>
      <c r="Q28" s="33"/>
      <c r="R28" s="33"/>
      <c r="S28" s="33"/>
      <c r="T28" s="33"/>
      <c r="U28" s="33"/>
      <c r="V28" s="33"/>
      <c r="AD28" s="33"/>
      <c r="AE28" s="33"/>
      <c r="AF28" s="33">
        <v>27</v>
      </c>
      <c r="AG28" s="33">
        <f t="shared" si="1"/>
        <v>46322</v>
      </c>
      <c r="AH28" s="33" t="e">
        <f ca="1">IF(OR(AF28&gt;$AD$4,AF28&gt;$AD$3),NA(),SUMIFS(OktTable[Jumlah (Rp)],OktTable[Tipe],"Pengeluaran",OktTable[Tanggal],"&lt;="&amp;AG28))</f>
        <v>#N/A</v>
      </c>
      <c r="AI28" s="33">
        <f>IF(AF28&gt;$AD$4,NA(),Rekap!$B$19/$AD$4*AF28)</f>
        <v>206637.09677419355</v>
      </c>
      <c r="AJ28" s="33"/>
      <c r="AK28" s="33"/>
      <c r="AL28" s="33"/>
      <c r="AM28" s="33"/>
      <c r="AN28" s="33"/>
      <c r="AO28" s="33"/>
    </row>
    <row r="29" spans="1:41" ht="24.75" customHeight="1" x14ac:dyDescent="0.25">
      <c r="A29" s="5"/>
      <c r="B29" s="3"/>
      <c r="C29" s="3"/>
      <c r="D29" s="3"/>
      <c r="E29" s="6"/>
      <c r="F29" s="49"/>
      <c r="K29" s="52" t="s">
        <v>90</v>
      </c>
      <c r="L29" s="53"/>
      <c r="M29" s="42">
        <f ca="1">M28*M26</f>
        <v>0</v>
      </c>
      <c r="N29" s="33"/>
      <c r="O29" s="33"/>
      <c r="P29" s="33"/>
      <c r="Q29" s="33"/>
      <c r="R29" s="33"/>
      <c r="S29" s="33"/>
      <c r="T29" s="33"/>
      <c r="U29" s="33"/>
      <c r="V29" s="33"/>
      <c r="AD29" s="33"/>
      <c r="AE29" s="33"/>
      <c r="AF29" s="33">
        <v>28</v>
      </c>
      <c r="AG29" s="33">
        <f t="shared" si="1"/>
        <v>46323</v>
      </c>
      <c r="AH29" s="33" t="e">
        <f ca="1">IF(OR(AF29&gt;$AD$4,AF29&gt;$AD$3),NA(),SUMIFS(OktTable[Jumlah (Rp)],OktTable[Tipe],"Pengeluaran",OktTable[Tanggal],"&lt;="&amp;AG29))</f>
        <v>#N/A</v>
      </c>
      <c r="AI29" s="33">
        <f>IF(AF29&gt;$AD$4,NA(),Rekap!$B$19/$AD$4*AF29)</f>
        <v>214290.32258064515</v>
      </c>
      <c r="AJ29" s="33"/>
      <c r="AK29" s="33"/>
      <c r="AL29" s="33"/>
      <c r="AM29" s="33"/>
      <c r="AN29" s="33"/>
      <c r="AO29" s="33"/>
    </row>
    <row r="30" spans="1:41" ht="24.75" customHeight="1" x14ac:dyDescent="0.25">
      <c r="A30" s="5"/>
      <c r="B30" s="3"/>
      <c r="C30" s="3"/>
      <c r="D30" s="3"/>
      <c r="E30" s="6"/>
      <c r="F30" s="49"/>
      <c r="K30" s="54" t="s">
        <v>91</v>
      </c>
      <c r="L30" s="53"/>
      <c r="M30" s="37">
        <f>Rekap!$B$19</f>
        <v>237250</v>
      </c>
      <c r="N30" s="33"/>
      <c r="O30" s="33"/>
      <c r="P30" s="33"/>
      <c r="Q30" s="33"/>
      <c r="R30" s="33"/>
      <c r="S30" s="33"/>
      <c r="T30" s="33"/>
      <c r="U30" s="33"/>
      <c r="V30" s="33"/>
      <c r="AD30" s="33"/>
      <c r="AE30" s="33"/>
      <c r="AF30" s="33">
        <v>29</v>
      </c>
      <c r="AG30" s="33">
        <f t="shared" si="1"/>
        <v>46324</v>
      </c>
      <c r="AH30" s="33" t="e">
        <f ca="1">IF(OR(AF30&gt;$AD$4,AF30&gt;$AD$3),NA(),SUMIFS(OktTable[Jumlah (Rp)],OktTable[Tipe],"Pengeluaran",OktTable[Tanggal],"&lt;="&amp;AG30))</f>
        <v>#N/A</v>
      </c>
      <c r="AI30" s="33">
        <f>IF(AF30&gt;$AD$4,NA(),Rekap!$B$19/$AD$4*AF30)</f>
        <v>221943.54838709676</v>
      </c>
      <c r="AJ30" s="33"/>
      <c r="AK30" s="33"/>
      <c r="AL30" s="33"/>
      <c r="AM30" s="33"/>
      <c r="AN30" s="33"/>
      <c r="AO30" s="33"/>
    </row>
    <row r="31" spans="1:41" ht="24.75" customHeight="1" x14ac:dyDescent="0.25">
      <c r="A31" s="5"/>
      <c r="B31" s="3"/>
      <c r="C31" s="3"/>
      <c r="D31" s="3"/>
      <c r="E31" s="6"/>
      <c r="F31" s="49"/>
      <c r="K31" s="54" t="s">
        <v>93</v>
      </c>
      <c r="L31" s="53"/>
      <c r="M31" s="37">
        <f>SUM(Master!$C$5:$C$81)</f>
        <v>30000000</v>
      </c>
      <c r="N31" s="33"/>
      <c r="O31" s="33"/>
      <c r="P31" s="33"/>
      <c r="Q31" s="33"/>
      <c r="R31" s="33"/>
      <c r="S31" s="33"/>
      <c r="T31" s="33"/>
      <c r="U31" s="33"/>
      <c r="V31" s="33"/>
      <c r="AD31" s="33"/>
      <c r="AE31" s="33"/>
      <c r="AF31" s="33">
        <v>30</v>
      </c>
      <c r="AG31" s="33">
        <f t="shared" si="1"/>
        <v>46325</v>
      </c>
      <c r="AH31" s="33" t="e">
        <f ca="1">IF(OR(AF31&gt;$AD$4,AF31&gt;$AD$3),NA(),SUMIFS(OktTable[Jumlah (Rp)],OktTable[Tipe],"Pengeluaran",OktTable[Tanggal],"&lt;="&amp;AG31))</f>
        <v>#N/A</v>
      </c>
      <c r="AI31" s="33">
        <f>IF(AF31&gt;$AD$4,NA(),Rekap!$B$19/$AD$4*AF31)</f>
        <v>229596.77419354839</v>
      </c>
      <c r="AJ31" s="33"/>
      <c r="AK31" s="33"/>
      <c r="AL31" s="33"/>
      <c r="AM31" s="33"/>
      <c r="AN31" s="33"/>
      <c r="AO31" s="33"/>
    </row>
    <row r="32" spans="1:41" ht="24.75" customHeight="1" x14ac:dyDescent="0.25">
      <c r="A32" s="5"/>
      <c r="B32" s="3"/>
      <c r="C32" s="3"/>
      <c r="D32" s="3"/>
      <c r="E32" s="6"/>
      <c r="F32" s="49"/>
      <c r="K32" s="52" t="s">
        <v>58</v>
      </c>
      <c r="L32" s="53"/>
      <c r="M32" s="40" t="str">
        <f ca="1">IF(M25=0,"belum mulai",IF(M29&gt;M30,"di atas kebiasaan","di bawah kebiasaan"))</f>
        <v>belum mulai</v>
      </c>
      <c r="N32" s="33"/>
      <c r="O32" s="33"/>
      <c r="P32" s="33"/>
      <c r="Q32" s="33"/>
      <c r="R32" s="33"/>
      <c r="S32" s="33"/>
      <c r="T32" s="33"/>
      <c r="U32" s="33"/>
      <c r="V32" s="33"/>
      <c r="AD32" s="33"/>
      <c r="AE32" s="33"/>
      <c r="AF32" s="33">
        <v>31</v>
      </c>
      <c r="AG32" s="33">
        <f t="shared" si="1"/>
        <v>46326</v>
      </c>
      <c r="AH32" s="33" t="e">
        <f ca="1">IF(OR(AF32&gt;$AD$4,AF32&gt;$AD$3),NA(),SUMIFS(OktTable[Jumlah (Rp)],OktTable[Tipe],"Pengeluaran",OktTable[Tanggal],"&lt;="&amp;AG32))</f>
        <v>#N/A</v>
      </c>
      <c r="AI32" s="33">
        <f>IF(AF32&gt;$AD$4,NA(),Rekap!$B$19/$AD$4*AF32)</f>
        <v>237250</v>
      </c>
      <c r="AJ32" s="33"/>
      <c r="AK32" s="33"/>
      <c r="AL32" s="33"/>
      <c r="AM32" s="33"/>
      <c r="AN32" s="33"/>
      <c r="AO32" s="33"/>
    </row>
    <row r="33" spans="1:41" ht="24.75" customHeight="1" x14ac:dyDescent="0.25">
      <c r="A33" s="5"/>
      <c r="B33" s="3"/>
      <c r="C33" s="3"/>
      <c r="D33" s="3"/>
      <c r="E33" s="6"/>
      <c r="F33" s="49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</row>
    <row r="34" spans="1:41" ht="24.75" customHeight="1" x14ac:dyDescent="0.25">
      <c r="A34" s="5"/>
      <c r="B34" s="3"/>
      <c r="C34" s="3"/>
      <c r="D34" s="3"/>
      <c r="E34" s="6"/>
      <c r="F34" s="49"/>
      <c r="K34" s="32" t="s">
        <v>94</v>
      </c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</row>
    <row r="35" spans="1:41" ht="24.75" customHeight="1" x14ac:dyDescent="0.25">
      <c r="A35" s="5"/>
      <c r="B35" s="3"/>
      <c r="C35" s="3"/>
      <c r="D35" s="3"/>
      <c r="E35" s="6"/>
      <c r="F35" s="49"/>
      <c r="K35" s="34" t="s">
        <v>43</v>
      </c>
      <c r="L35" s="34" t="s">
        <v>37</v>
      </c>
      <c r="M35" s="34" t="s">
        <v>44</v>
      </c>
      <c r="N35" s="33"/>
      <c r="O35" s="33"/>
      <c r="P35" s="33"/>
      <c r="Q35" s="33"/>
      <c r="R35" s="33"/>
      <c r="S35" s="33"/>
      <c r="T35" s="33"/>
      <c r="U35" s="33"/>
      <c r="V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</row>
    <row r="36" spans="1:41" ht="24.75" customHeight="1" x14ac:dyDescent="0.25">
      <c r="A36" s="5"/>
      <c r="B36" s="3"/>
      <c r="C36" s="3"/>
      <c r="D36" s="3"/>
      <c r="E36" s="6"/>
      <c r="F36" s="49"/>
      <c r="K36" s="35" t="str">
        <f>Master!$G$5</f>
        <v>Tunai Uji</v>
      </c>
      <c r="L36" s="37">
        <f>SUMIFS(OktTable[Jumlah (Rp)],OktTable[Tipe],"Pengeluaran",OktTable[Pembayaran],K36)</f>
        <v>0</v>
      </c>
      <c r="M36" s="48">
        <f t="shared" ref="M36:M44" si="2">IFERROR(L36/$D$3,0)</f>
        <v>0</v>
      </c>
      <c r="N36" s="33"/>
      <c r="O36" s="33"/>
      <c r="P36" s="33"/>
      <c r="Q36" s="33"/>
      <c r="R36" s="33"/>
      <c r="S36" s="33"/>
      <c r="T36" s="33"/>
      <c r="U36" s="33"/>
      <c r="V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</row>
    <row r="37" spans="1:41" ht="24.75" customHeight="1" x14ac:dyDescent="0.25">
      <c r="A37" s="5"/>
      <c r="B37" s="3"/>
      <c r="C37" s="3"/>
      <c r="D37" s="3"/>
      <c r="E37" s="6"/>
      <c r="F37" s="49"/>
      <c r="K37" s="35" t="str">
        <f>Master!$G$6</f>
        <v>Bank Uji</v>
      </c>
      <c r="L37" s="37">
        <f>SUMIFS(OktTable[Jumlah (Rp)],OktTable[Tipe],"Pengeluaran",OktTable[Pembayaran],K37)</f>
        <v>0</v>
      </c>
      <c r="M37" s="48">
        <f t="shared" si="2"/>
        <v>0</v>
      </c>
      <c r="N37" s="33"/>
      <c r="O37" s="33"/>
      <c r="P37" s="33"/>
      <c r="Q37" s="33"/>
      <c r="R37" s="33"/>
      <c r="S37" s="33"/>
      <c r="T37" s="33"/>
      <c r="U37" s="33"/>
      <c r="V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</row>
    <row r="38" spans="1:41" ht="24.75" customHeight="1" x14ac:dyDescent="0.25">
      <c r="A38" s="5"/>
      <c r="B38" s="3"/>
      <c r="C38" s="3"/>
      <c r="D38" s="3"/>
      <c r="E38" s="6"/>
      <c r="F38" s="49"/>
      <c r="K38" s="35" t="str">
        <f>Master!$G$7</f>
        <v>Dompet Uji</v>
      </c>
      <c r="L38" s="37">
        <f>SUMIFS(OktTable[Jumlah (Rp)],OktTable[Tipe],"Pengeluaran",OktTable[Pembayaran],K38)</f>
        <v>0</v>
      </c>
      <c r="M38" s="48">
        <f t="shared" si="2"/>
        <v>0</v>
      </c>
      <c r="N38" s="33"/>
      <c r="O38" s="33"/>
      <c r="P38" s="33"/>
      <c r="Q38" s="33"/>
      <c r="R38" s="33"/>
      <c r="S38" s="33"/>
      <c r="T38" s="33"/>
      <c r="U38" s="33"/>
      <c r="V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</row>
    <row r="39" spans="1:41" ht="24.75" customHeight="1" x14ac:dyDescent="0.25">
      <c r="A39" s="5"/>
      <c r="B39" s="3"/>
      <c r="C39" s="3"/>
      <c r="D39" s="3"/>
      <c r="E39" s="6"/>
      <c r="F39" s="49"/>
      <c r="K39" s="35" t="str">
        <f>Master!$G$8</f>
        <v>Kartu Uji</v>
      </c>
      <c r="L39" s="37">
        <f>SUMIFS(OktTable[Jumlah (Rp)],OktTable[Tipe],"Pengeluaran",OktTable[Pembayaran],K39)</f>
        <v>0</v>
      </c>
      <c r="M39" s="48">
        <f t="shared" si="2"/>
        <v>0</v>
      </c>
      <c r="N39" s="33"/>
      <c r="O39" s="33"/>
      <c r="P39" s="33"/>
      <c r="Q39" s="33"/>
      <c r="R39" s="33"/>
      <c r="S39" s="33"/>
      <c r="T39" s="33"/>
      <c r="U39" s="33"/>
      <c r="V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</row>
    <row r="40" spans="1:41" ht="24.75" customHeight="1" x14ac:dyDescent="0.25">
      <c r="A40" s="5"/>
      <c r="B40" s="3"/>
      <c r="C40" s="3"/>
      <c r="D40" s="3"/>
      <c r="E40" s="6"/>
      <c r="F40" s="49"/>
      <c r="K40" s="35" t="str">
        <f>Master!$G$9</f>
        <v>Transfer Uji</v>
      </c>
      <c r="L40" s="37">
        <f>SUMIFS(OktTable[Jumlah (Rp)],OktTable[Tipe],"Pengeluaran",OktTable[Pembayaran],K40)</f>
        <v>0</v>
      </c>
      <c r="M40" s="48">
        <f t="shared" si="2"/>
        <v>0</v>
      </c>
      <c r="N40" s="33"/>
      <c r="O40" s="33"/>
      <c r="P40" s="33"/>
      <c r="Q40" s="33"/>
      <c r="R40" s="33"/>
      <c r="S40" s="33"/>
      <c r="T40" s="33"/>
      <c r="U40" s="33"/>
      <c r="V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</row>
    <row r="41" spans="1:41" ht="24.75" customHeight="1" x14ac:dyDescent="0.25">
      <c r="A41" s="5"/>
      <c r="B41" s="3"/>
      <c r="C41" s="3"/>
      <c r="D41" s="3"/>
      <c r="E41" s="6"/>
      <c r="F41" s="49"/>
      <c r="K41" s="35" t="str">
        <f>Master!$G$10</f>
        <v>Voucher Uji</v>
      </c>
      <c r="L41" s="37">
        <f>SUMIFS(OktTable[Jumlah (Rp)],OktTable[Tipe],"Pengeluaran",OktTable[Pembayaran],K41)</f>
        <v>0</v>
      </c>
      <c r="M41" s="48">
        <f t="shared" si="2"/>
        <v>0</v>
      </c>
      <c r="N41" s="33"/>
      <c r="O41" s="33"/>
      <c r="P41" s="33"/>
      <c r="Q41" s="33"/>
      <c r="R41" s="33"/>
      <c r="S41" s="33"/>
      <c r="T41" s="33"/>
      <c r="U41" s="33"/>
      <c r="V41" s="33"/>
    </row>
    <row r="42" spans="1:41" ht="24.75" customHeight="1" x14ac:dyDescent="0.25">
      <c r="A42" s="5"/>
      <c r="B42" s="3"/>
      <c r="C42" s="3"/>
      <c r="D42" s="3"/>
      <c r="E42" s="6"/>
      <c r="F42" s="49"/>
      <c r="K42" s="35" t="str">
        <f>Master!$G$11</f>
        <v>Cicilan Uji</v>
      </c>
      <c r="L42" s="37">
        <f>SUMIFS(OktTable[Jumlah (Rp)],OktTable[Tipe],"Pengeluaran",OktTable[Pembayaran],K42)</f>
        <v>0</v>
      </c>
      <c r="M42" s="48">
        <f t="shared" si="2"/>
        <v>0</v>
      </c>
      <c r="N42" s="33"/>
      <c r="O42" s="33"/>
      <c r="P42" s="33"/>
      <c r="Q42" s="33"/>
      <c r="R42" s="33"/>
      <c r="S42" s="33"/>
      <c r="T42" s="33"/>
      <c r="U42" s="33"/>
      <c r="V42" s="33"/>
    </row>
    <row r="43" spans="1:41" ht="24.75" customHeight="1" x14ac:dyDescent="0.25">
      <c r="A43" s="5"/>
      <c r="B43" s="3"/>
      <c r="C43" s="3"/>
      <c r="D43" s="3"/>
      <c r="E43" s="6"/>
      <c r="F43" s="49"/>
      <c r="K43" s="35" t="str">
        <f>Master!$G$12</f>
        <v>Lainnya Uji</v>
      </c>
      <c r="L43" s="37">
        <f>SUMIFS(OktTable[Jumlah (Rp)],OktTable[Tipe],"Pengeluaran",OktTable[Pembayaran],K43)</f>
        <v>0</v>
      </c>
      <c r="M43" s="48">
        <f t="shared" si="2"/>
        <v>0</v>
      </c>
      <c r="N43" s="33"/>
      <c r="O43" s="33"/>
      <c r="P43" s="33"/>
      <c r="Q43" s="33"/>
      <c r="R43" s="33"/>
      <c r="S43" s="33"/>
      <c r="T43" s="33"/>
      <c r="U43" s="33"/>
      <c r="V43" s="33"/>
    </row>
    <row r="44" spans="1:41" ht="24.75" customHeight="1" x14ac:dyDescent="0.25">
      <c r="A44" s="5"/>
      <c r="B44" s="3"/>
      <c r="C44" s="3"/>
      <c r="D44" s="3"/>
      <c r="E44" s="6"/>
      <c r="F44" s="49"/>
      <c r="K44" s="40" t="s">
        <v>21</v>
      </c>
      <c r="L44" s="42">
        <f>SUM(L36:L43)</f>
        <v>0</v>
      </c>
      <c r="M44" s="44">
        <f t="shared" si="2"/>
        <v>0</v>
      </c>
      <c r="N44" s="33"/>
      <c r="O44" s="33"/>
      <c r="P44" s="33"/>
      <c r="Q44" s="33"/>
      <c r="R44" s="33"/>
      <c r="S44" s="33"/>
      <c r="T44" s="33"/>
      <c r="U44" s="33"/>
      <c r="V44" s="33"/>
    </row>
    <row r="45" spans="1:41" ht="24.75" customHeight="1" x14ac:dyDescent="0.25">
      <c r="A45" s="5"/>
      <c r="B45" s="3"/>
      <c r="C45" s="3"/>
      <c r="D45" s="3"/>
      <c r="E45" s="6"/>
      <c r="F45" s="49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</row>
    <row r="46" spans="1:41" ht="24.75" customHeight="1" x14ac:dyDescent="0.25">
      <c r="A46" s="5"/>
      <c r="B46" s="3"/>
      <c r="C46" s="3"/>
      <c r="D46" s="3"/>
      <c r="E46" s="6"/>
      <c r="F46" s="49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</row>
    <row r="47" spans="1:41" ht="24.75" customHeight="1" x14ac:dyDescent="0.25">
      <c r="A47" s="5"/>
      <c r="B47" s="3"/>
      <c r="C47" s="3"/>
      <c r="D47" s="3"/>
      <c r="E47" s="6"/>
      <c r="F47" s="49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</row>
    <row r="48" spans="1:41" ht="24.75" customHeight="1" x14ac:dyDescent="0.25">
      <c r="A48" s="5"/>
      <c r="B48" s="3"/>
      <c r="C48" s="3"/>
      <c r="D48" s="3"/>
      <c r="E48" s="6"/>
      <c r="F48" s="49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</row>
    <row r="49" spans="1:22" ht="24.75" customHeight="1" x14ac:dyDescent="0.25">
      <c r="A49" s="5"/>
      <c r="B49" s="3"/>
      <c r="C49" s="3"/>
      <c r="D49" s="3"/>
      <c r="E49" s="6"/>
      <c r="F49" s="49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ht="24.75" customHeight="1" x14ac:dyDescent="0.25">
      <c r="A50" s="5"/>
      <c r="B50" s="3"/>
      <c r="C50" s="3"/>
      <c r="D50" s="3"/>
      <c r="E50" s="6"/>
      <c r="F50" s="49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</row>
    <row r="51" spans="1:22" ht="24.75" customHeight="1" x14ac:dyDescent="0.25">
      <c r="A51" s="5"/>
      <c r="B51" s="3"/>
      <c r="C51" s="3"/>
      <c r="D51" s="3"/>
      <c r="E51" s="6"/>
      <c r="F51" s="49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</row>
    <row r="52" spans="1:22" ht="24.75" customHeight="1" x14ac:dyDescent="0.25">
      <c r="A52" s="5"/>
      <c r="B52" s="3"/>
      <c r="C52" s="3"/>
      <c r="D52" s="3"/>
      <c r="E52" s="6"/>
      <c r="F52" s="49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</row>
    <row r="53" spans="1:22" ht="24.75" customHeight="1" x14ac:dyDescent="0.25">
      <c r="A53" s="5"/>
      <c r="B53" s="3"/>
      <c r="C53" s="3"/>
      <c r="D53" s="3"/>
      <c r="E53" s="6"/>
      <c r="F53" s="49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</row>
    <row r="54" spans="1:22" ht="24.75" customHeight="1" x14ac:dyDescent="0.25">
      <c r="A54" s="5"/>
      <c r="B54" s="3"/>
      <c r="C54" s="3"/>
      <c r="D54" s="3"/>
      <c r="E54" s="6"/>
      <c r="F54" s="49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</row>
    <row r="55" spans="1:22" ht="24.75" customHeight="1" x14ac:dyDescent="0.25">
      <c r="A55" s="5"/>
      <c r="B55" s="3"/>
      <c r="C55" s="3"/>
      <c r="D55" s="3"/>
      <c r="E55" s="6"/>
      <c r="F55" s="49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</row>
    <row r="56" spans="1:22" ht="24.75" customHeight="1" x14ac:dyDescent="0.25">
      <c r="A56" s="5"/>
      <c r="B56" s="3"/>
      <c r="C56" s="3"/>
      <c r="D56" s="3"/>
      <c r="E56" s="6"/>
      <c r="F56" s="49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</row>
    <row r="57" spans="1:22" ht="24.75" customHeight="1" x14ac:dyDescent="0.25">
      <c r="A57" s="5"/>
      <c r="B57" s="3"/>
      <c r="C57" s="3"/>
      <c r="D57" s="3"/>
      <c r="E57" s="6"/>
      <c r="F57" s="49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</row>
    <row r="58" spans="1:22" ht="24.75" customHeight="1" x14ac:dyDescent="0.25">
      <c r="A58" s="5"/>
      <c r="B58" s="3"/>
      <c r="C58" s="3"/>
      <c r="D58" s="3"/>
      <c r="E58" s="6"/>
      <c r="F58" s="49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</row>
    <row r="59" spans="1:22" ht="24.75" customHeight="1" x14ac:dyDescent="0.25">
      <c r="A59" s="5"/>
      <c r="B59" s="3"/>
      <c r="C59" s="3"/>
      <c r="D59" s="3"/>
      <c r="E59" s="6"/>
      <c r="F59" s="49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</row>
    <row r="60" spans="1:22" ht="24.75" customHeight="1" x14ac:dyDescent="0.25">
      <c r="A60" s="5"/>
      <c r="B60" s="3"/>
      <c r="C60" s="3"/>
      <c r="D60" s="3"/>
      <c r="E60" s="6"/>
      <c r="F60" s="49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</row>
    <row r="61" spans="1:22" ht="24.75" customHeight="1" x14ac:dyDescent="0.25">
      <c r="A61" s="5"/>
      <c r="B61" s="3"/>
      <c r="C61" s="3"/>
      <c r="D61" s="3"/>
      <c r="E61" s="6"/>
      <c r="F61" s="49"/>
    </row>
    <row r="62" spans="1:22" ht="24.75" customHeight="1" x14ac:dyDescent="0.25">
      <c r="A62" s="5"/>
      <c r="B62" s="3"/>
      <c r="C62" s="3"/>
      <c r="D62" s="3"/>
      <c r="E62" s="6"/>
      <c r="F62" s="49"/>
    </row>
    <row r="63" spans="1:22" ht="24.75" customHeight="1" x14ac:dyDescent="0.25">
      <c r="A63" s="5"/>
      <c r="B63" s="3"/>
      <c r="C63" s="3"/>
      <c r="D63" s="3"/>
      <c r="E63" s="6"/>
      <c r="F63" s="49"/>
    </row>
    <row r="64" spans="1:22" ht="24.75" customHeight="1" x14ac:dyDescent="0.25">
      <c r="A64" s="5"/>
      <c r="B64" s="3"/>
      <c r="C64" s="3"/>
      <c r="D64" s="3"/>
      <c r="E64" s="6"/>
      <c r="F64" s="49"/>
    </row>
    <row r="65" spans="1:6" ht="24.75" customHeight="1" x14ac:dyDescent="0.25">
      <c r="A65" s="5"/>
      <c r="B65" s="3"/>
      <c r="C65" s="3"/>
      <c r="D65" s="3"/>
      <c r="E65" s="6"/>
      <c r="F65" s="49"/>
    </row>
    <row r="66" spans="1:6" ht="24.75" customHeight="1" x14ac:dyDescent="0.25">
      <c r="A66" s="5"/>
      <c r="B66" s="3"/>
      <c r="C66" s="3"/>
      <c r="D66" s="3"/>
      <c r="E66" s="6"/>
      <c r="F66" s="49"/>
    </row>
    <row r="67" spans="1:6" ht="24.75" customHeight="1" x14ac:dyDescent="0.25">
      <c r="A67" s="5"/>
      <c r="B67" s="3"/>
      <c r="C67" s="3"/>
      <c r="D67" s="3"/>
      <c r="E67" s="6"/>
      <c r="F67" s="49"/>
    </row>
    <row r="68" spans="1:6" ht="24.75" customHeight="1" x14ac:dyDescent="0.25">
      <c r="A68" s="5"/>
      <c r="B68" s="3"/>
      <c r="C68" s="3"/>
      <c r="D68" s="3"/>
      <c r="E68" s="6"/>
      <c r="F68" s="49"/>
    </row>
    <row r="69" spans="1:6" ht="24.75" customHeight="1" x14ac:dyDescent="0.25">
      <c r="A69" s="5"/>
      <c r="B69" s="3"/>
      <c r="C69" s="3"/>
      <c r="D69" s="3"/>
      <c r="E69" s="6"/>
      <c r="F69" s="49"/>
    </row>
    <row r="70" spans="1:6" ht="24.75" customHeight="1" x14ac:dyDescent="0.25">
      <c r="A70" s="5"/>
      <c r="B70" s="3"/>
      <c r="C70" s="3"/>
      <c r="D70" s="3"/>
      <c r="E70" s="6"/>
      <c r="F70" s="49"/>
    </row>
    <row r="71" spans="1:6" ht="24.75" customHeight="1" x14ac:dyDescent="0.25">
      <c r="A71" s="5"/>
      <c r="B71" s="3"/>
      <c r="C71" s="3"/>
      <c r="D71" s="3"/>
      <c r="E71" s="6"/>
      <c r="F71" s="49"/>
    </row>
    <row r="72" spans="1:6" ht="24.75" customHeight="1" x14ac:dyDescent="0.25">
      <c r="A72" s="5"/>
      <c r="B72" s="3"/>
      <c r="C72" s="3"/>
      <c r="D72" s="3"/>
      <c r="E72" s="6"/>
      <c r="F72" s="49"/>
    </row>
    <row r="73" spans="1:6" ht="24.75" customHeight="1" x14ac:dyDescent="0.25">
      <c r="A73" s="5"/>
      <c r="B73" s="3"/>
      <c r="C73" s="3"/>
      <c r="D73" s="3"/>
      <c r="E73" s="6"/>
      <c r="F73" s="49"/>
    </row>
    <row r="74" spans="1:6" ht="24.75" customHeight="1" x14ac:dyDescent="0.25">
      <c r="A74" s="5"/>
      <c r="B74" s="3"/>
      <c r="C74" s="3"/>
      <c r="D74" s="3"/>
      <c r="E74" s="6"/>
      <c r="F74" s="49"/>
    </row>
    <row r="75" spans="1:6" ht="24.75" customHeight="1" x14ac:dyDescent="0.25">
      <c r="A75" s="5"/>
      <c r="B75" s="3"/>
      <c r="C75" s="3"/>
      <c r="D75" s="3"/>
      <c r="E75" s="6"/>
      <c r="F75" s="49"/>
    </row>
    <row r="76" spans="1:6" ht="24.75" customHeight="1" x14ac:dyDescent="0.25">
      <c r="A76" s="5"/>
      <c r="B76" s="3"/>
      <c r="C76" s="3"/>
      <c r="D76" s="3"/>
      <c r="E76" s="6"/>
      <c r="F76" s="49"/>
    </row>
    <row r="77" spans="1:6" ht="24.75" customHeight="1" x14ac:dyDescent="0.25">
      <c r="A77" s="5"/>
      <c r="B77" s="3"/>
      <c r="C77" s="3"/>
      <c r="D77" s="3"/>
      <c r="E77" s="6"/>
      <c r="F77" s="49"/>
    </row>
    <row r="78" spans="1:6" ht="24.75" customHeight="1" x14ac:dyDescent="0.25">
      <c r="A78" s="5"/>
      <c r="B78" s="3"/>
      <c r="C78" s="3"/>
      <c r="D78" s="3"/>
      <c r="E78" s="6"/>
      <c r="F78" s="49"/>
    </row>
    <row r="79" spans="1:6" ht="24.75" customHeight="1" x14ac:dyDescent="0.25">
      <c r="A79" s="5"/>
      <c r="B79" s="3"/>
      <c r="C79" s="3"/>
      <c r="D79" s="3"/>
      <c r="E79" s="6"/>
      <c r="F79" s="49"/>
    </row>
    <row r="80" spans="1:6" ht="24.75" customHeight="1" x14ac:dyDescent="0.25">
      <c r="A80" s="5"/>
      <c r="B80" s="3"/>
      <c r="C80" s="3"/>
      <c r="D80" s="3"/>
      <c r="E80" s="6"/>
      <c r="F80" s="49"/>
    </row>
    <row r="81" spans="1:6" ht="24.75" customHeight="1" x14ac:dyDescent="0.25">
      <c r="A81" s="5"/>
      <c r="B81" s="3"/>
      <c r="C81" s="3"/>
      <c r="D81" s="3"/>
      <c r="E81" s="6"/>
      <c r="F81" s="49"/>
    </row>
    <row r="82" spans="1:6" ht="24.75" customHeight="1" x14ac:dyDescent="0.25">
      <c r="A82" s="5"/>
      <c r="B82" s="3"/>
      <c r="C82" s="3"/>
      <c r="D82" s="3"/>
      <c r="E82" s="6"/>
      <c r="F82" s="49"/>
    </row>
    <row r="83" spans="1:6" ht="24.75" customHeight="1" x14ac:dyDescent="0.25">
      <c r="A83" s="5"/>
      <c r="B83" s="3"/>
      <c r="C83" s="3"/>
      <c r="D83" s="3"/>
      <c r="E83" s="6"/>
      <c r="F83" s="49"/>
    </row>
    <row r="84" spans="1:6" ht="24.75" customHeight="1" x14ac:dyDescent="0.25">
      <c r="A84" s="5"/>
      <c r="B84" s="3"/>
      <c r="C84" s="3"/>
      <c r="D84" s="3"/>
      <c r="E84" s="6"/>
      <c r="F84" s="49"/>
    </row>
    <row r="85" spans="1:6" ht="24.75" customHeight="1" x14ac:dyDescent="0.25">
      <c r="A85" s="5"/>
      <c r="B85" s="3"/>
      <c r="C85" s="3"/>
      <c r="D85" s="3"/>
      <c r="E85" s="6"/>
      <c r="F85" s="49"/>
    </row>
    <row r="86" spans="1:6" ht="24.75" customHeight="1" x14ac:dyDescent="0.25">
      <c r="A86" s="5"/>
      <c r="B86" s="3"/>
      <c r="C86" s="3"/>
      <c r="D86" s="3"/>
      <c r="E86" s="6"/>
      <c r="F86" s="49"/>
    </row>
    <row r="87" spans="1:6" ht="24.75" customHeight="1" x14ac:dyDescent="0.25">
      <c r="A87" s="5"/>
      <c r="B87" s="3"/>
      <c r="C87" s="3"/>
      <c r="D87" s="3"/>
      <c r="E87" s="6"/>
      <c r="F87" s="49"/>
    </row>
    <row r="88" spans="1:6" ht="24.75" customHeight="1" x14ac:dyDescent="0.25">
      <c r="A88" s="5"/>
      <c r="B88" s="3"/>
      <c r="C88" s="3"/>
      <c r="D88" s="3"/>
      <c r="E88" s="6"/>
      <c r="F88" s="49"/>
    </row>
    <row r="89" spans="1:6" ht="24.75" customHeight="1" x14ac:dyDescent="0.25">
      <c r="A89" s="5"/>
      <c r="B89" s="3"/>
      <c r="C89" s="3"/>
      <c r="D89" s="3"/>
      <c r="E89" s="6"/>
      <c r="F89" s="49"/>
    </row>
    <row r="90" spans="1:6" ht="24.75" customHeight="1" x14ac:dyDescent="0.25">
      <c r="A90" s="5"/>
      <c r="B90" s="3"/>
      <c r="C90" s="3"/>
      <c r="D90" s="3"/>
      <c r="E90" s="6"/>
      <c r="F90" s="49"/>
    </row>
    <row r="91" spans="1:6" ht="24.75" customHeight="1" x14ac:dyDescent="0.25">
      <c r="A91" s="5"/>
      <c r="B91" s="3"/>
      <c r="C91" s="3"/>
      <c r="D91" s="3"/>
      <c r="E91" s="6"/>
      <c r="F91" s="49"/>
    </row>
    <row r="92" spans="1:6" ht="24.75" customHeight="1" x14ac:dyDescent="0.25">
      <c r="A92" s="5"/>
      <c r="B92" s="3"/>
      <c r="C92" s="3"/>
      <c r="D92" s="3"/>
      <c r="E92" s="6"/>
      <c r="F92" s="49"/>
    </row>
    <row r="93" spans="1:6" ht="24.75" customHeight="1" x14ac:dyDescent="0.25">
      <c r="A93" s="5"/>
      <c r="B93" s="3"/>
      <c r="C93" s="3"/>
      <c r="D93" s="3"/>
      <c r="E93" s="6"/>
      <c r="F93" s="49"/>
    </row>
    <row r="94" spans="1:6" ht="24.75" customHeight="1" x14ac:dyDescent="0.25">
      <c r="A94" s="5"/>
      <c r="B94" s="3"/>
      <c r="C94" s="3"/>
      <c r="D94" s="3"/>
      <c r="E94" s="6"/>
      <c r="F94" s="49"/>
    </row>
    <row r="95" spans="1:6" ht="24.75" customHeight="1" x14ac:dyDescent="0.25">
      <c r="A95" s="5"/>
      <c r="B95" s="3"/>
      <c r="C95" s="3"/>
      <c r="D95" s="3"/>
      <c r="E95" s="6"/>
      <c r="F95" s="49"/>
    </row>
    <row r="96" spans="1:6" ht="24.75" customHeight="1" x14ac:dyDescent="0.25">
      <c r="A96" s="5"/>
      <c r="B96" s="3"/>
      <c r="C96" s="3"/>
      <c r="D96" s="3"/>
      <c r="E96" s="6"/>
      <c r="F96" s="49"/>
    </row>
    <row r="97" spans="1:6" ht="24.75" customHeight="1" x14ac:dyDescent="0.25">
      <c r="A97" s="5"/>
      <c r="B97" s="3"/>
      <c r="C97" s="3"/>
      <c r="D97" s="3"/>
      <c r="E97" s="6"/>
      <c r="F97" s="49"/>
    </row>
    <row r="98" spans="1:6" ht="24.75" customHeight="1" x14ac:dyDescent="0.25">
      <c r="A98" s="5"/>
      <c r="B98" s="3"/>
      <c r="C98" s="3"/>
      <c r="D98" s="3"/>
      <c r="E98" s="6"/>
      <c r="F98" s="49"/>
    </row>
    <row r="99" spans="1:6" ht="24.75" customHeight="1" x14ac:dyDescent="0.25">
      <c r="A99" s="5"/>
      <c r="B99" s="3"/>
      <c r="C99" s="3"/>
      <c r="D99" s="3"/>
      <c r="E99" s="6"/>
      <c r="F99" s="49"/>
    </row>
    <row r="100" spans="1:6" ht="24.75" customHeight="1" x14ac:dyDescent="0.25">
      <c r="A100" s="5"/>
      <c r="B100" s="3"/>
      <c r="C100" s="3"/>
      <c r="D100" s="3"/>
      <c r="E100" s="6"/>
      <c r="F100" s="49"/>
    </row>
    <row r="101" spans="1:6" ht="24.75" customHeight="1" x14ac:dyDescent="0.25">
      <c r="A101" s="5"/>
      <c r="B101" s="3"/>
      <c r="C101" s="3"/>
      <c r="D101" s="3"/>
      <c r="E101" s="6"/>
      <c r="F101" s="49"/>
    </row>
    <row r="102" spans="1:6" ht="24.75" customHeight="1" x14ac:dyDescent="0.25">
      <c r="A102" s="5"/>
      <c r="B102" s="3"/>
      <c r="C102" s="3"/>
      <c r="D102" s="3"/>
      <c r="E102" s="6"/>
      <c r="F102" s="49"/>
    </row>
    <row r="103" spans="1:6" ht="24.75" customHeight="1" x14ac:dyDescent="0.25">
      <c r="A103" s="5"/>
      <c r="B103" s="3"/>
      <c r="C103" s="3"/>
      <c r="D103" s="3"/>
      <c r="E103" s="6"/>
      <c r="F103" s="49"/>
    </row>
    <row r="104" spans="1:6" ht="24.75" customHeight="1" x14ac:dyDescent="0.25">
      <c r="A104" s="5"/>
      <c r="B104" s="3"/>
      <c r="C104" s="3"/>
      <c r="D104" s="3"/>
      <c r="E104" s="6"/>
      <c r="F104" s="49"/>
    </row>
    <row r="105" spans="1:6" ht="24.75" customHeight="1" x14ac:dyDescent="0.25">
      <c r="A105" s="5"/>
      <c r="B105" s="3"/>
      <c r="C105" s="3"/>
      <c r="D105" s="3"/>
      <c r="E105" s="6"/>
      <c r="F105" s="49"/>
    </row>
  </sheetData>
  <mergeCells count="21">
    <mergeCell ref="H13:I13"/>
    <mergeCell ref="K30:L30"/>
    <mergeCell ref="K18:L18"/>
    <mergeCell ref="K25:L25"/>
    <mergeCell ref="K24:L24"/>
    <mergeCell ref="K32:L32"/>
    <mergeCell ref="K31:L31"/>
    <mergeCell ref="K27:L27"/>
    <mergeCell ref="K29:L29"/>
    <mergeCell ref="R8:T8"/>
    <mergeCell ref="K14:L14"/>
    <mergeCell ref="K17:L17"/>
    <mergeCell ref="K10:L10"/>
    <mergeCell ref="K28:L28"/>
    <mergeCell ref="K19:L19"/>
    <mergeCell ref="K15:L15"/>
    <mergeCell ref="K9:L9"/>
    <mergeCell ref="K26:L26"/>
    <mergeCell ref="K11:L11"/>
    <mergeCell ref="K20:L20"/>
    <mergeCell ref="K16:L16"/>
  </mergeCells>
  <conditionalFormatting sqref="M19">
    <cfRule type="cellIs" dxfId="35" priority="5" operator="lessThan">
      <formula>0</formula>
    </cfRule>
    <cfRule type="cellIs" dxfId="34" priority="6" operator="greaterThanOrEqual">
      <formula>0</formula>
    </cfRule>
  </conditionalFormatting>
  <conditionalFormatting sqref="M32">
    <cfRule type="cellIs" dxfId="33" priority="7" operator="equal">
      <formula>"di atas kebiasaan"</formula>
    </cfRule>
    <cfRule type="cellIs" dxfId="32" priority="8" operator="equal">
      <formula>"di bawah kebiasaan"</formula>
    </cfRule>
  </conditionalFormatting>
  <conditionalFormatting sqref="U12:U15">
    <cfRule type="cellIs" dxfId="31" priority="9" operator="greaterThan">
      <formula>0</formula>
    </cfRule>
    <cfRule type="cellIs" dxfId="30" priority="10" operator="lessThan">
      <formula>0</formula>
    </cfRule>
  </conditionalFormatting>
  <conditionalFormatting sqref="U19:U23">
    <cfRule type="cellIs" dxfId="29" priority="11" operator="greaterThan">
      <formula>0</formula>
    </cfRule>
    <cfRule type="cellIs" dxfId="28" priority="12" operator="lessThan">
      <formula>0</formula>
    </cfRule>
  </conditionalFormatting>
  <conditionalFormatting sqref="B6:B505">
    <cfRule type="expression" dxfId="27" priority="13" stopIfTrue="1">
      <formula>TRIM($B6)="Pengeluaran"</formula>
    </cfRule>
    <cfRule type="expression" dxfId="26" priority="14" stopIfTrue="1">
      <formula>TRIM($B6)="Pemasukan"</formula>
    </cfRule>
  </conditionalFormatting>
  <dataValidations count="6">
    <dataValidation type="list" errorStyle="warning" allowBlank="1" errorTitle="Di luar daftar" error="Nilai ini tidak ada di sheet Master. Tetap pakai?" sqref="B9:B508" xr:uid="{00000000-0002-0000-0A00-000000000000}">
      <formula1>ListTipe</formula1>
    </dataValidation>
    <dataValidation type="list" errorStyle="warning" allowBlank="1" errorTitle="Di luar daftar" error="Nilai ini tidak ada di sheet Master. Tetap pakai?" sqref="C9:C508" xr:uid="{00000000-0002-0000-0A00-000001000000}">
      <formula1>ListPembayaran</formula1>
    </dataValidation>
    <dataValidation type="list" errorStyle="warning" allowBlank="1" errorTitle="Di luar daftar" error="Nilai ini tidak ada di sheet Master. Tetap pakai?" sqref="D9:D508" xr:uid="{00000000-0002-0000-0A00-000002000000}">
      <formula1>ListKategori</formula1>
    </dataValidation>
    <dataValidation type="list" errorStyle="warning" allowBlank="1" showErrorMessage="1" errorTitle="Di luar daftar" error="Nilai ini tidak ada di sheet Master. Tetap pakai?" sqref="B5:B6" xr:uid="{C904E61D-6510-486D-9C3C-B533B240DBC2}">
      <formula1>ListTipe</formula1>
    </dataValidation>
    <dataValidation type="list" errorStyle="warning" allowBlank="1" showErrorMessage="1" errorTitle="Di luar daftar" error="Nilai ini tidak ada di sheet Master. Tetap pakai?" sqref="C5:C6" xr:uid="{5F830995-77B9-4A39-B17D-829F88D9B032}">
      <formula1>ListPembayaran</formula1>
    </dataValidation>
    <dataValidation type="list" errorStyle="warning" allowBlank="1" showErrorMessage="1" errorTitle="Di luar daftar" error="Nilai ini tidak ada di sheet Master. Tetap pakai?" sqref="D5:D6" xr:uid="{EF02F8B6-77F2-4D4A-9C85-19BDF933F9B4}">
      <formula1>ListKategori</formula1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5" name="Button 1">
              <controlPr defaultSize="0" print="0" autoFill="0" autoPict="0" macro="TambahBarisBaru_ActiveSheet">
                <anchor moveWithCells="1" sizeWithCells="1">
                  <from>
                    <xdr:col>4</xdr:col>
                    <xdr:colOff>1457325</xdr:colOff>
                    <xdr:row>1</xdr:row>
                    <xdr:rowOff>285750</xdr:rowOff>
                  </from>
                  <to>
                    <xdr:col>5</xdr:col>
                    <xdr:colOff>3038475</xdr:colOff>
                    <xdr:row>3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AO105"/>
  <sheetViews>
    <sheetView topLeftCell="A31" workbookViewId="0">
      <selection activeCell="F14" sqref="F14"/>
    </sheetView>
  </sheetViews>
  <sheetFormatPr defaultRowHeight="24.75" customHeight="1" x14ac:dyDescent="0.25"/>
  <cols>
    <col min="1" max="1" width="15" customWidth="1"/>
    <col min="2" max="2" width="14" customWidth="1"/>
    <col min="3" max="3" width="20.85546875" customWidth="1"/>
    <col min="4" max="5" width="22.140625" customWidth="1"/>
    <col min="6" max="6" width="46" customWidth="1"/>
    <col min="7" max="7" width="2" customWidth="1"/>
    <col min="8" max="8" width="16.7109375" customWidth="1"/>
    <col min="9" max="9" width="16.42578125" customWidth="1"/>
    <col min="11" max="11" width="26" customWidth="1"/>
    <col min="12" max="12" width="9" customWidth="1"/>
    <col min="13" max="15" width="16" customWidth="1"/>
    <col min="16" max="16" width="19" customWidth="1"/>
    <col min="17" max="17" width="2" customWidth="1"/>
    <col min="18" max="18" width="22" customWidth="1"/>
    <col min="19" max="21" width="15" customWidth="1"/>
    <col min="22" max="22" width="34" customWidth="1"/>
    <col min="30" max="41" width="13" hidden="1" customWidth="1"/>
  </cols>
  <sheetData>
    <row r="1" spans="1:41" ht="24.75" customHeight="1" x14ac:dyDescent="0.25">
      <c r="A1" s="15" t="s">
        <v>45</v>
      </c>
      <c r="B1" s="16"/>
      <c r="C1" s="17" t="s">
        <v>46</v>
      </c>
      <c r="D1" s="16"/>
      <c r="K1" s="32" t="s">
        <v>47</v>
      </c>
      <c r="L1" s="33"/>
      <c r="M1" s="33"/>
      <c r="N1" s="33"/>
      <c r="O1" s="33"/>
      <c r="P1" s="33"/>
      <c r="Q1" s="33"/>
      <c r="R1" s="32" t="s">
        <v>48</v>
      </c>
      <c r="S1" s="33"/>
      <c r="T1" s="33"/>
      <c r="U1" s="33"/>
      <c r="V1" s="33"/>
      <c r="AD1" s="33">
        <f>DATE(2026,11,1)</f>
        <v>46327</v>
      </c>
      <c r="AE1" s="33"/>
      <c r="AF1" s="33" t="s">
        <v>49</v>
      </c>
      <c r="AG1" s="33"/>
      <c r="AH1" s="33" t="s">
        <v>50</v>
      </c>
      <c r="AI1" s="33" t="s">
        <v>51</v>
      </c>
      <c r="AJ1" s="33" t="str">
        <f>Master!$A$5</f>
        <v>Kategori Uji 01</v>
      </c>
      <c r="AK1" s="33">
        <f>SUMIFS(NovTable[Jumlah (Rp)],NovTable[Tipe],"Pengeluaran",NovTable[Kategori],AJ1)</f>
        <v>0</v>
      </c>
      <c r="AL1" s="33">
        <f>SUMIFS(OktTable[Jumlah (Rp)],OktTable[Tipe],"Pengeluaran",OktTable[Kategori],AJ1)</f>
        <v>0</v>
      </c>
      <c r="AM1" s="33">
        <f t="shared" ref="AM1:AM23" si="0">AK1+ROW()/1000000</f>
        <v>9.9999999999999995E-7</v>
      </c>
      <c r="AN1" s="33">
        <f>MAX($AM$1:$AM$23)</f>
        <v>2.3E-5</v>
      </c>
      <c r="AO1" s="33">
        <f>IFERROR(MATCH(AN1,$AM$1:$AM$23,0),0)</f>
        <v>23</v>
      </c>
    </row>
    <row r="2" spans="1:41" ht="24.75" customHeight="1" x14ac:dyDescent="0.25">
      <c r="A2" s="15" t="s">
        <v>5</v>
      </c>
      <c r="B2" s="7" t="str">
        <f>IF(B1=0,"",B1-D4)</f>
        <v/>
      </c>
      <c r="C2" s="17" t="s">
        <v>52</v>
      </c>
      <c r="D2" s="2">
        <f>SUMIFS(NovTable[Jumlah (Rp)],NovTable[Tipe],"Pemasukan")</f>
        <v>0</v>
      </c>
      <c r="E2" s="8">
        <f>IFERROR(D2/(D2+D3),0)</f>
        <v>0</v>
      </c>
      <c r="K2" s="34" t="s">
        <v>53</v>
      </c>
      <c r="L2" s="34" t="s">
        <v>54</v>
      </c>
      <c r="M2" s="34" t="s">
        <v>55</v>
      </c>
      <c r="N2" s="34" t="s">
        <v>56</v>
      </c>
      <c r="O2" s="34" t="s">
        <v>57</v>
      </c>
      <c r="P2" s="34" t="s">
        <v>58</v>
      </c>
      <c r="Q2" s="33"/>
      <c r="R2" s="34" t="s">
        <v>59</v>
      </c>
      <c r="S2" s="34" t="s">
        <v>49</v>
      </c>
      <c r="T2" s="34" t="s">
        <v>25</v>
      </c>
      <c r="U2" s="34" t="s">
        <v>60</v>
      </c>
      <c r="V2" s="34" t="s">
        <v>61</v>
      </c>
      <c r="AD2" s="33">
        <f>EOMONTH(AD1,0)</f>
        <v>46356</v>
      </c>
      <c r="AE2" s="33"/>
      <c r="AF2" s="33">
        <v>1</v>
      </c>
      <c r="AG2" s="33">
        <f t="shared" ref="AG2:AG32" si="1">DATE(2026,11,AF2)</f>
        <v>46327</v>
      </c>
      <c r="AH2" s="33" t="e">
        <f ca="1">IF(OR(AF2&gt;$AD$4,AF2&gt;$AD$3),NA(),SUMIFS(NovTable[Jumlah (Rp)],NovTable[Tipe],"Pengeluaran",NovTable[Tanggal],"&lt;="&amp;AG2))</f>
        <v>#N/A</v>
      </c>
      <c r="AI2" s="33">
        <f>IF(AF2&gt;$AD$4,NA(),Rekap!$B$19/$AD$4*AF2)</f>
        <v>7908.333333333333</v>
      </c>
      <c r="AJ2" s="33" t="str">
        <f>Master!$A$6</f>
        <v>Kategori Uji 02</v>
      </c>
      <c r="AK2" s="33">
        <f>SUMIFS(NovTable[Jumlah (Rp)],NovTable[Tipe],"Pengeluaran",NovTable[Kategori],AJ2)</f>
        <v>0</v>
      </c>
      <c r="AL2" s="33">
        <f>SUMIFS(OktTable[Jumlah (Rp)],OktTable[Tipe],"Pengeluaran",OktTable[Kategori],AJ2)</f>
        <v>0</v>
      </c>
      <c r="AM2" s="33">
        <f t="shared" si="0"/>
        <v>1.9999999999999999E-6</v>
      </c>
      <c r="AN2" s="33">
        <f>SUMPRODUCT(MAX(($AM$1:$AM$23&lt;AN1)*$AM$1:$AM$23))</f>
        <v>2.1999999999999999E-5</v>
      </c>
      <c r="AO2" s="33">
        <f>IFERROR(MATCH(AN2,$AM$1:$AM$23,0),0)</f>
        <v>22</v>
      </c>
    </row>
    <row r="3" spans="1:41" ht="24.75" customHeight="1" x14ac:dyDescent="0.25">
      <c r="A3" s="15" t="s">
        <v>6</v>
      </c>
      <c r="B3" s="18" t="str">
        <f>IF(D2=0,"",(D2-D3)/D2)</f>
        <v/>
      </c>
      <c r="C3" s="19" t="s">
        <v>62</v>
      </c>
      <c r="D3" s="2">
        <f>SUMIFS(NovTable[Jumlah (Rp)],NovTable[Tipe],"Pengeluaran")</f>
        <v>0</v>
      </c>
      <c r="E3" s="8">
        <f>IFERROR(D3/(D2+D3),0)</f>
        <v>0</v>
      </c>
      <c r="K3" s="35" t="str">
        <f>"Uang Makan (hari kerja "&amp;TEXT($AD$1-1,"mmmm")&amp;")"</f>
        <v>Uang Makan (hari kerja October)</v>
      </c>
      <c r="L3" s="36">
        <v>10</v>
      </c>
      <c r="M3" s="37">
        <f>$M$10*$M$11</f>
        <v>0</v>
      </c>
      <c r="N3" s="37">
        <f>SUMIFS(NovTable[Jumlah (Rp)],NovTable[Tipe],"Pemasukan",NovTable[Kategori],"Uang Makan")</f>
        <v>0</v>
      </c>
      <c r="O3" s="37">
        <f ca="1">IF(OR(N3&gt;0,TODAY()&gt;$AD$2),0,N(M3))</f>
        <v>0</v>
      </c>
      <c r="P3" s="35" t="str">
        <f ca="1">IF(N3&gt;0,"sudah cair",IF(TODAY()&gt;$AD$2,"bulan sudah lewat",IF(N(M3)=0,"isi estimasi dulu","menunggu tgl 10")))</f>
        <v>isi estimasi dulu</v>
      </c>
      <c r="Q3" s="33"/>
      <c r="R3" s="36">
        <v>1</v>
      </c>
      <c r="S3" s="38">
        <f>IF($AE$6=0,"",INDEX(NovTable[Tanggal],$AE$6))</f>
        <v>0</v>
      </c>
      <c r="T3" s="35">
        <f>IF($AE$6=0,"",INDEX(NovTable[Kategori],$AE$6))</f>
        <v>0</v>
      </c>
      <c r="U3" s="37">
        <f>IF($AE$6=0,"",INDEX(NovTable[Jumlah (Rp)],$AE$6))</f>
        <v>0</v>
      </c>
      <c r="V3" s="35">
        <f>IF($AE$6=0,"",INDEX(NovTable[Keterangan],$AE$6))</f>
        <v>0</v>
      </c>
      <c r="AD3" s="33">
        <f ca="1">IF(TODAY()&gt;=AD2,DAY(AD2),IF(TODAY()&lt;AD1,0,DAY(TODAY())))</f>
        <v>0</v>
      </c>
      <c r="AE3" s="33"/>
      <c r="AF3" s="33">
        <v>2</v>
      </c>
      <c r="AG3" s="33">
        <f t="shared" si="1"/>
        <v>46328</v>
      </c>
      <c r="AH3" s="33" t="e">
        <f ca="1">IF(OR(AF3&gt;$AD$4,AF3&gt;$AD$3),NA(),SUMIFS(NovTable[Jumlah (Rp)],NovTable[Tipe],"Pengeluaran",NovTable[Tanggal],"&lt;="&amp;AG3))</f>
        <v>#N/A</v>
      </c>
      <c r="AI3" s="33">
        <f>IF(AF3&gt;$AD$4,NA(),Rekap!$B$19/$AD$4*AF3)</f>
        <v>15816.666666666666</v>
      </c>
      <c r="AJ3" s="33" t="str">
        <f>Master!$A$7</f>
        <v>Kategori Uji 03</v>
      </c>
      <c r="AK3" s="33">
        <f>SUMIFS(NovTable[Jumlah (Rp)],NovTable[Tipe],"Pengeluaran",NovTable[Kategori],AJ3)</f>
        <v>0</v>
      </c>
      <c r="AL3" s="33">
        <f>SUMIFS(OktTable[Jumlah (Rp)],OktTable[Tipe],"Pengeluaran",OktTable[Kategori],AJ3)</f>
        <v>0</v>
      </c>
      <c r="AM3" s="33">
        <f t="shared" si="0"/>
        <v>3.0000000000000001E-6</v>
      </c>
      <c r="AN3" s="33">
        <f>SUMPRODUCT(MAX(($AM$1:$AM$23&lt;AN2)*$AM$1:$AM$23))</f>
        <v>2.0999999999999999E-5</v>
      </c>
      <c r="AO3" s="33">
        <f>IFERROR(MATCH(AN3,$AM$1:$AM$23,0),0)</f>
        <v>21</v>
      </c>
    </row>
    <row r="4" spans="1:41" ht="24.75" customHeight="1" x14ac:dyDescent="0.25">
      <c r="A4" s="15" t="s">
        <v>63</v>
      </c>
      <c r="B4">
        <f>COUNTA(NovTable[Tanggal])</f>
        <v>0</v>
      </c>
      <c r="C4" s="17" t="s">
        <v>64</v>
      </c>
      <c r="D4" s="20">
        <f>D1+D2-D3</f>
        <v>0</v>
      </c>
      <c r="K4" s="35" t="s">
        <v>144</v>
      </c>
      <c r="L4" s="36">
        <v>10</v>
      </c>
      <c r="M4" s="39">
        <v>5000000</v>
      </c>
      <c r="N4" s="37">
        <f>SUMIFS(NovTable[Jumlah (Rp)],NovTable[Tipe],"Pemasukan",NovTable[Kategori],"Gaji")</f>
        <v>0</v>
      </c>
      <c r="O4" s="37">
        <f ca="1">IF(OR(N4&gt;1000000,TODAY()&gt;$AD$2),0,N(M4))</f>
        <v>5000000</v>
      </c>
      <c r="P4" s="35" t="str">
        <f ca="1">IF(N4&gt;1000000,"sudah cair",IF(TODAY()&gt;$AD$2,"bulan sudah lewat",IF(N(M4)=0,"isi estimasi dulu","menunggu tgl 25")))</f>
        <v>menunggu tgl 25</v>
      </c>
      <c r="Q4" s="33"/>
      <c r="R4" s="36">
        <v>2</v>
      </c>
      <c r="S4" s="38">
        <f>IF($AE$7=0,"",INDEX(NovTable[Tanggal],$AE$7))</f>
        <v>0</v>
      </c>
      <c r="T4" s="35">
        <f>IF($AE$7=0,"",INDEX(NovTable[Kategori],$AE$7))</f>
        <v>0</v>
      </c>
      <c r="U4" s="37">
        <f>IF($AE$7=0,"",INDEX(NovTable[Jumlah (Rp)],$AE$7))</f>
        <v>0</v>
      </c>
      <c r="V4" s="35">
        <f>IF($AE$7=0,"",INDEX(NovTable[Keterangan],$AE$7))</f>
        <v>0</v>
      </c>
      <c r="AD4" s="33">
        <f>DAY(AD2)</f>
        <v>30</v>
      </c>
      <c r="AE4" s="33"/>
      <c r="AF4" s="33">
        <v>3</v>
      </c>
      <c r="AG4" s="33">
        <f t="shared" si="1"/>
        <v>46329</v>
      </c>
      <c r="AH4" s="33" t="e">
        <f ca="1">IF(OR(AF4&gt;$AD$4,AF4&gt;$AD$3),NA(),SUMIFS(NovTable[Jumlah (Rp)],NovTable[Tipe],"Pengeluaran",NovTable[Tanggal],"&lt;="&amp;AG4))</f>
        <v>#N/A</v>
      </c>
      <c r="AI4" s="33">
        <f>IF(AF4&gt;$AD$4,NA(),Rekap!$B$19/$AD$4*AF4)</f>
        <v>23725</v>
      </c>
      <c r="AJ4" s="33" t="str">
        <f>Master!$A$8</f>
        <v>Kategori Uji 04</v>
      </c>
      <c r="AK4" s="33">
        <f>SUMIFS(NovTable[Jumlah (Rp)],NovTable[Tipe],"Pengeluaran",NovTable[Kategori],AJ4)</f>
        <v>0</v>
      </c>
      <c r="AL4" s="33">
        <f>SUMIFS(OktTable[Jumlah (Rp)],OktTable[Tipe],"Pengeluaran",OktTable[Kategori],AJ4)</f>
        <v>0</v>
      </c>
      <c r="AM4" s="33">
        <f t="shared" si="0"/>
        <v>3.9999999999999998E-6</v>
      </c>
      <c r="AN4" s="33">
        <f>SUMPRODUCT(MAX(($AM$1:$AM$23&lt;AN3)*$AM$1:$AM$23))</f>
        <v>2.0000000000000002E-5</v>
      </c>
      <c r="AO4" s="33">
        <f>IFERROR(MATCH(AN4,$AM$1:$AM$23,0),0)</f>
        <v>20</v>
      </c>
    </row>
    <row r="5" spans="1:41" ht="24.75" customHeight="1" x14ac:dyDescent="0.25">
      <c r="A5" s="1" t="s">
        <v>49</v>
      </c>
      <c r="B5" s="1" t="s">
        <v>65</v>
      </c>
      <c r="C5" s="1" t="s">
        <v>66</v>
      </c>
      <c r="D5" s="1" t="s">
        <v>25</v>
      </c>
      <c r="E5" s="1" t="s">
        <v>67</v>
      </c>
      <c r="F5" s="51" t="s">
        <v>61</v>
      </c>
      <c r="K5" s="35" t="s">
        <v>145</v>
      </c>
      <c r="L5" s="36">
        <v>20</v>
      </c>
      <c r="M5" s="39">
        <v>1000000</v>
      </c>
      <c r="N5" s="37">
        <f>SUMIFS(NovTable[Jumlah (Rp)],NovTable[Tipe],"Pemasukan",NovTable[Kategori],"Freelance")</f>
        <v>0</v>
      </c>
      <c r="O5" s="37">
        <f ca="1">IF(OR(N5&gt;0,TODAY()&gt;$AD$2),0,N(M5))</f>
        <v>1000000</v>
      </c>
      <c r="P5" s="35" t="str">
        <f ca="1">IF(N5&gt;0,"sudah cair",IF(TODAY()&gt;$AD$2,"bulan sudah lewat",IF(N(M5)=0,"isi estimasi dulu","menunggu tgl 28")))</f>
        <v>menunggu tgl 28</v>
      </c>
      <c r="Q5" s="33"/>
      <c r="R5" s="36">
        <v>3</v>
      </c>
      <c r="S5" s="38">
        <f>IF($AE$8=0,"",INDEX(NovTable[Tanggal],$AE$8))</f>
        <v>0</v>
      </c>
      <c r="T5" s="35">
        <f>IF($AE$8=0,"",INDEX(NovTable[Kategori],$AE$8))</f>
        <v>0</v>
      </c>
      <c r="U5" s="37">
        <f>IF($AE$8=0,"",INDEX(NovTable[Jumlah (Rp)],$AE$8))</f>
        <v>0</v>
      </c>
      <c r="V5" s="35">
        <f>IF($AE$8=0,"",INDEX(NovTable[Keterangan],$AE$8))</f>
        <v>0</v>
      </c>
      <c r="AD5" s="33"/>
      <c r="AE5" s="33"/>
      <c r="AF5" s="33">
        <v>4</v>
      </c>
      <c r="AG5" s="33">
        <f t="shared" si="1"/>
        <v>46330</v>
      </c>
      <c r="AH5" s="33" t="e">
        <f ca="1">IF(OR(AF5&gt;$AD$4,AF5&gt;$AD$3),NA(),SUMIFS(NovTable[Jumlah (Rp)],NovTable[Tipe],"Pengeluaran",NovTable[Tanggal],"&lt;="&amp;AG5))</f>
        <v>#N/A</v>
      </c>
      <c r="AI5" s="33">
        <f>IF(AF5&gt;$AD$4,NA(),Rekap!$B$19/$AD$4*AF5)</f>
        <v>31633.333333333332</v>
      </c>
      <c r="AJ5" s="33" t="str">
        <f>Master!$A$9</f>
        <v>Kategori Uji 05</v>
      </c>
      <c r="AK5" s="33">
        <f>SUMIFS(NovTable[Jumlah (Rp)],NovTable[Tipe],"Pengeluaran",NovTable[Kategori],AJ5)</f>
        <v>0</v>
      </c>
      <c r="AL5" s="33">
        <f>SUMIFS(OktTable[Jumlah (Rp)],OktTable[Tipe],"Pengeluaran",OktTable[Kategori],AJ5)</f>
        <v>0</v>
      </c>
      <c r="AM5" s="33">
        <f t="shared" si="0"/>
        <v>5.0000000000000004E-6</v>
      </c>
      <c r="AN5" s="33">
        <f>SUMPRODUCT(MAX(($AM$1:$AM$23&lt;AN4)*$AM$1:$AM$23))</f>
        <v>1.9000000000000001E-5</v>
      </c>
      <c r="AO5" s="33">
        <f>IFERROR(MATCH(AN5,$AM$1:$AM$23,0),0)</f>
        <v>19</v>
      </c>
    </row>
    <row r="6" spans="1:41" ht="24.75" customHeight="1" x14ac:dyDescent="0.25">
      <c r="A6" s="5"/>
      <c r="B6" s="3"/>
      <c r="C6" s="3"/>
      <c r="D6" s="3"/>
      <c r="E6" s="6"/>
      <c r="F6" s="49"/>
      <c r="K6" s="40" t="s">
        <v>21</v>
      </c>
      <c r="L6" s="41"/>
      <c r="M6" s="42">
        <f>SUM(M3:M5)</f>
        <v>6000000</v>
      </c>
      <c r="N6" s="42">
        <f>SUM(N3:N5)</f>
        <v>0</v>
      </c>
      <c r="O6" s="42">
        <f ca="1">SUM(O3:O5)</f>
        <v>6000000</v>
      </c>
      <c r="P6" s="41"/>
      <c r="Q6" s="33"/>
      <c r="R6" s="36">
        <v>4</v>
      </c>
      <c r="S6" s="38">
        <f>IF($AE$9=0,"",INDEX(NovTable[Tanggal],$AE$9))</f>
        <v>0</v>
      </c>
      <c r="T6" s="35">
        <f>IF($AE$9=0,"",INDEX(NovTable[Kategori],$AE$9))</f>
        <v>0</v>
      </c>
      <c r="U6" s="37">
        <f>IF($AE$9=0,"",INDEX(NovTable[Jumlah (Rp)],$AE$9))</f>
        <v>0</v>
      </c>
      <c r="V6" s="35">
        <f>IF($AE$9=0,"",INDEX(NovTable[Keterangan],$AE$9))</f>
        <v>0</v>
      </c>
      <c r="AD6" s="33">
        <f>SUMPRODUCT(MAX((NovTable[Tipe]="Pengeluaran")*(NovTable[Jumlah (Rp)]+ROW(NovTable[Jumlah (Rp)])/1000000)))</f>
        <v>0</v>
      </c>
      <c r="AE6" s="33">
        <f>IFERROR(SUMPRODUCT(MATCH(AD6,(NovTable[Tipe]="Pengeluaran")*(NovTable[Jumlah (Rp)]+ROW(NovTable[Jumlah (Rp)])/1000000),0)),0)</f>
        <v>1</v>
      </c>
      <c r="AF6" s="33">
        <v>5</v>
      </c>
      <c r="AG6" s="33">
        <f t="shared" si="1"/>
        <v>46331</v>
      </c>
      <c r="AH6" s="33" t="e">
        <f ca="1">IF(OR(AF6&gt;$AD$4,AF6&gt;$AD$3),NA(),SUMIFS(NovTable[Jumlah (Rp)],NovTable[Tipe],"Pengeluaran",NovTable[Tanggal],"&lt;="&amp;AG6))</f>
        <v>#N/A</v>
      </c>
      <c r="AI6" s="33">
        <f>IF(AF6&gt;$AD$4,NA(),Rekap!$B$19/$AD$4*AF6)</f>
        <v>39541.666666666664</v>
      </c>
      <c r="AJ6" s="33" t="str">
        <f>Master!$A$10</f>
        <v>Kategori Uji 06</v>
      </c>
      <c r="AK6" s="33">
        <f>SUMIFS(NovTable[Jumlah (Rp)],NovTable[Tipe],"Pengeluaran",NovTable[Kategori],AJ6)</f>
        <v>0</v>
      </c>
      <c r="AL6" s="33">
        <f>SUMIFS(OktTable[Jumlah (Rp)],OktTable[Tipe],"Pengeluaran",OktTable[Kategori],AJ6)</f>
        <v>0</v>
      </c>
      <c r="AM6" s="33">
        <f t="shared" si="0"/>
        <v>6.0000000000000002E-6</v>
      </c>
      <c r="AN6" s="33"/>
      <c r="AO6" s="33"/>
    </row>
    <row r="7" spans="1:41" ht="24.75" customHeight="1" x14ac:dyDescent="0.25">
      <c r="A7" s="5"/>
      <c r="B7" s="3"/>
      <c r="C7" s="3"/>
      <c r="D7" s="3"/>
      <c r="E7" s="6"/>
      <c r="F7" s="49"/>
      <c r="K7" s="33"/>
      <c r="L7" s="33"/>
      <c r="M7" s="33"/>
      <c r="N7" s="33"/>
      <c r="O7" s="33"/>
      <c r="P7" s="33"/>
      <c r="Q7" s="33"/>
      <c r="R7" s="36">
        <v>5</v>
      </c>
      <c r="S7" s="38">
        <f>IF($AE$10=0,"",INDEX(NovTable[Tanggal],$AE$10))</f>
        <v>0</v>
      </c>
      <c r="T7" s="35">
        <f>IF($AE$10=0,"",INDEX(NovTable[Kategori],$AE$10))</f>
        <v>0</v>
      </c>
      <c r="U7" s="37">
        <f>IF($AE$10=0,"",INDEX(NovTable[Jumlah (Rp)],$AE$10))</f>
        <v>0</v>
      </c>
      <c r="V7" s="35">
        <f>IF($AE$10=0,"",INDEX(NovTable[Keterangan],$AE$10))</f>
        <v>0</v>
      </c>
      <c r="AD7" s="33">
        <f>SUMPRODUCT(MAX((NovTable[Tipe]="Pengeluaran")*((NovTable[Jumlah (Rp)]+ROW(NovTable[Jumlah (Rp)])/1000000)&lt;AD6)*(NovTable[Jumlah (Rp)]+ROW(NovTable[Jumlah (Rp)])/1000000)))</f>
        <v>0</v>
      </c>
      <c r="AE7" s="33">
        <f>IFERROR(SUMPRODUCT(MATCH(AD7,(NovTable[Tipe]="Pengeluaran")*(NovTable[Jumlah (Rp)]+ROW(NovTable[Jumlah (Rp)])/1000000),0)),0)</f>
        <v>1</v>
      </c>
      <c r="AF7" s="33">
        <v>6</v>
      </c>
      <c r="AG7" s="33">
        <f t="shared" si="1"/>
        <v>46332</v>
      </c>
      <c r="AH7" s="33" t="e">
        <f ca="1">IF(OR(AF7&gt;$AD$4,AF7&gt;$AD$3),NA(),SUMIFS(NovTable[Jumlah (Rp)],NovTable[Tipe],"Pengeluaran",NovTable[Tanggal],"&lt;="&amp;AG7))</f>
        <v>#N/A</v>
      </c>
      <c r="AI7" s="33">
        <f>IF(AF7&gt;$AD$4,NA(),Rekap!$B$19/$AD$4*AF7)</f>
        <v>47450</v>
      </c>
      <c r="AJ7" s="33" t="str">
        <f>Master!$A$11</f>
        <v>Kategori Uji 07</v>
      </c>
      <c r="AK7" s="33">
        <f>SUMIFS(NovTable[Jumlah (Rp)],NovTable[Tipe],"Pengeluaran",NovTable[Kategori],AJ7)</f>
        <v>0</v>
      </c>
      <c r="AL7" s="33">
        <f>SUMIFS(OktTable[Jumlah (Rp)],OktTable[Tipe],"Pengeluaran",OktTable[Kategori],AJ7)</f>
        <v>0</v>
      </c>
      <c r="AM7" s="33">
        <f t="shared" si="0"/>
        <v>6.9999999999999999E-6</v>
      </c>
      <c r="AN7" s="33"/>
      <c r="AO7" s="33"/>
    </row>
    <row r="8" spans="1:41" ht="24.75" customHeight="1" x14ac:dyDescent="0.25">
      <c r="A8" s="5"/>
      <c r="B8" s="3"/>
      <c r="C8" s="3"/>
      <c r="D8" s="3"/>
      <c r="E8" s="6"/>
      <c r="F8" s="49"/>
      <c r="K8" s="43" t="s">
        <v>68</v>
      </c>
      <c r="L8" s="33"/>
      <c r="M8" s="33"/>
      <c r="N8" s="33"/>
      <c r="O8" s="33"/>
      <c r="P8" s="33"/>
      <c r="Q8" s="33"/>
      <c r="R8" s="52" t="s">
        <v>69</v>
      </c>
      <c r="S8" s="55"/>
      <c r="T8" s="55"/>
      <c r="U8" s="42">
        <f>SUM(U3:U7)</f>
        <v>0</v>
      </c>
      <c r="V8" s="44">
        <f>IFERROR(U8/$D$3,0)</f>
        <v>0</v>
      </c>
      <c r="AD8" s="33">
        <f>SUMPRODUCT(MAX((NovTable[Tipe]="Pengeluaran")*((NovTable[Jumlah (Rp)]+ROW(NovTable[Jumlah (Rp)])/1000000)&lt;AD7)*(NovTable[Jumlah (Rp)]+ROW(NovTable[Jumlah (Rp)])/1000000)))</f>
        <v>0</v>
      </c>
      <c r="AE8" s="33">
        <f>IFERROR(SUMPRODUCT(MATCH(AD8,(NovTable[Tipe]="Pengeluaran")*(NovTable[Jumlah (Rp)]+ROW(NovTable[Jumlah (Rp)])/1000000),0)),0)</f>
        <v>1</v>
      </c>
      <c r="AF8" s="33">
        <v>7</v>
      </c>
      <c r="AG8" s="33">
        <f t="shared" si="1"/>
        <v>46333</v>
      </c>
      <c r="AH8" s="33" t="e">
        <f ca="1">IF(OR(AF8&gt;$AD$4,AF8&gt;$AD$3),NA(),SUMIFS(NovTable[Jumlah (Rp)],NovTable[Tipe],"Pengeluaran",NovTable[Tanggal],"&lt;="&amp;AG8))</f>
        <v>#N/A</v>
      </c>
      <c r="AI8" s="33">
        <f>IF(AF8&gt;$AD$4,NA(),Rekap!$B$19/$AD$4*AF8)</f>
        <v>55358.333333333328</v>
      </c>
      <c r="AJ8" s="33" t="str">
        <f>Master!$A$12</f>
        <v>Kategori Uji 08</v>
      </c>
      <c r="AK8" s="33">
        <f>SUMIFS(NovTable[Jumlah (Rp)],NovTable[Tipe],"Pengeluaran",NovTable[Kategori],AJ8)</f>
        <v>0</v>
      </c>
      <c r="AL8" s="33">
        <f>SUMIFS(OktTable[Jumlah (Rp)],OktTable[Tipe],"Pengeluaran",OktTable[Kategori],AJ8)</f>
        <v>0</v>
      </c>
      <c r="AM8" s="33">
        <f t="shared" si="0"/>
        <v>7.9999999999999996E-6</v>
      </c>
      <c r="AN8" s="33"/>
      <c r="AO8" s="33"/>
    </row>
    <row r="9" spans="1:41" ht="24.75" customHeight="1" x14ac:dyDescent="0.25">
      <c r="A9" s="5"/>
      <c r="B9" s="3"/>
      <c r="C9" s="3"/>
      <c r="D9" s="3"/>
      <c r="E9" s="6"/>
      <c r="F9" s="49"/>
      <c r="K9" s="56" t="s">
        <v>61</v>
      </c>
      <c r="L9" s="53"/>
      <c r="M9" s="34" t="s">
        <v>70</v>
      </c>
      <c r="N9" s="33"/>
      <c r="O9" s="33"/>
      <c r="P9" s="33"/>
      <c r="Q9" s="33"/>
      <c r="R9" s="33"/>
      <c r="S9" s="33"/>
      <c r="T9" s="33"/>
      <c r="U9" s="33"/>
      <c r="V9" s="33"/>
      <c r="AD9" s="33">
        <f>SUMPRODUCT(MAX((NovTable[Tipe]="Pengeluaran")*((NovTable[Jumlah (Rp)]+ROW(NovTable[Jumlah (Rp)])/1000000)&lt;AD8)*(NovTable[Jumlah (Rp)]+ROW(NovTable[Jumlah (Rp)])/1000000)))</f>
        <v>0</v>
      </c>
      <c r="AE9" s="33">
        <f>IFERROR(SUMPRODUCT(MATCH(AD9,(NovTable[Tipe]="Pengeluaran")*(NovTable[Jumlah (Rp)]+ROW(NovTable[Jumlah (Rp)])/1000000),0)),0)</f>
        <v>1</v>
      </c>
      <c r="AF9" s="33">
        <v>8</v>
      </c>
      <c r="AG9" s="33">
        <f t="shared" si="1"/>
        <v>46334</v>
      </c>
      <c r="AH9" s="33" t="e">
        <f ca="1">IF(OR(AF9&gt;$AD$4,AF9&gt;$AD$3),NA(),SUMIFS(NovTable[Jumlah (Rp)],NovTable[Tipe],"Pengeluaran",NovTable[Tanggal],"&lt;="&amp;AG9))</f>
        <v>#N/A</v>
      </c>
      <c r="AI9" s="33">
        <f>IF(AF9&gt;$AD$4,NA(),Rekap!$B$19/$AD$4*AF9)</f>
        <v>63266.666666666664</v>
      </c>
      <c r="AJ9" s="33" t="str">
        <f>Master!$A$13</f>
        <v>Kategori Uji 09</v>
      </c>
      <c r="AK9" s="33">
        <f>SUMIFS(NovTable[Jumlah (Rp)],NovTable[Tipe],"Pengeluaran",NovTable[Kategori],AJ9)</f>
        <v>0</v>
      </c>
      <c r="AL9" s="33">
        <f>SUMIFS(OktTable[Jumlah (Rp)],OktTable[Tipe],"Pengeluaran",OktTable[Kategori],AJ9)</f>
        <v>0</v>
      </c>
      <c r="AM9" s="33">
        <f t="shared" si="0"/>
        <v>9.0000000000000002E-6</v>
      </c>
      <c r="AN9" s="33"/>
      <c r="AO9" s="33"/>
    </row>
    <row r="10" spans="1:41" ht="24.75" customHeight="1" x14ac:dyDescent="0.25">
      <c r="A10" s="5"/>
      <c r="B10" s="3"/>
      <c r="C10" s="3"/>
      <c r="D10" s="3"/>
      <c r="E10" s="6"/>
      <c r="F10" s="49"/>
      <c r="K10" s="54" t="str">
        <f>"Hari kerja "&amp;TEXT($AD$1-1,"mmmm")</f>
        <v>Hari kerja October</v>
      </c>
      <c r="L10" s="53"/>
      <c r="M10" s="45"/>
      <c r="N10" s="33"/>
      <c r="O10" s="33"/>
      <c r="P10" s="33"/>
      <c r="Q10" s="33"/>
      <c r="R10" s="32" t="s">
        <v>71</v>
      </c>
      <c r="S10" s="33"/>
      <c r="T10" s="33"/>
      <c r="U10" s="33"/>
      <c r="V10" s="33"/>
      <c r="AD10" s="33">
        <f>SUMPRODUCT(MAX((NovTable[Tipe]="Pengeluaran")*((NovTable[Jumlah (Rp)]+ROW(NovTable[Jumlah (Rp)])/1000000)&lt;AD9)*(NovTable[Jumlah (Rp)]+ROW(NovTable[Jumlah (Rp)])/1000000)))</f>
        <v>0</v>
      </c>
      <c r="AE10" s="33">
        <f>IFERROR(SUMPRODUCT(MATCH(AD10,(NovTable[Tipe]="Pengeluaran")*(NovTable[Jumlah (Rp)]+ROW(NovTable[Jumlah (Rp)])/1000000),0)),0)</f>
        <v>1</v>
      </c>
      <c r="AF10" s="33">
        <v>9</v>
      </c>
      <c r="AG10" s="33">
        <f t="shared" si="1"/>
        <v>46335</v>
      </c>
      <c r="AH10" s="33" t="e">
        <f ca="1">IF(OR(AF10&gt;$AD$4,AF10&gt;$AD$3),NA(),SUMIFS(NovTable[Jumlah (Rp)],NovTable[Tipe],"Pengeluaran",NovTable[Tanggal],"&lt;="&amp;AG10))</f>
        <v>#N/A</v>
      </c>
      <c r="AI10" s="33">
        <f>IF(AF10&gt;$AD$4,NA(),Rekap!$B$19/$AD$4*AF10)</f>
        <v>71175</v>
      </c>
      <c r="AJ10" s="33" t="str">
        <f>Master!$A$14</f>
        <v>Kategori Uji 10</v>
      </c>
      <c r="AK10" s="33">
        <f>SUMIFS(NovTable[Jumlah (Rp)],NovTable[Tipe],"Pengeluaran",NovTable[Kategori],AJ10)</f>
        <v>0</v>
      </c>
      <c r="AL10" s="33">
        <f>SUMIFS(OktTable[Jumlah (Rp)],OktTable[Tipe],"Pengeluaran",OktTable[Kategori],AJ10)</f>
        <v>0</v>
      </c>
      <c r="AM10" s="33">
        <f t="shared" si="0"/>
        <v>1.0000000000000001E-5</v>
      </c>
      <c r="AN10" s="33"/>
      <c r="AO10" s="33"/>
    </row>
    <row r="11" spans="1:41" ht="24.75" customHeight="1" x14ac:dyDescent="0.25">
      <c r="A11" s="5"/>
      <c r="B11" s="3"/>
      <c r="C11" s="3"/>
      <c r="D11" s="3"/>
      <c r="E11" s="6"/>
      <c r="F11" s="49"/>
      <c r="K11" s="54" t="s">
        <v>72</v>
      </c>
      <c r="L11" s="53"/>
      <c r="M11" s="39">
        <v>50000</v>
      </c>
      <c r="N11" s="33"/>
      <c r="O11" s="33"/>
      <c r="P11" s="33"/>
      <c r="Q11" s="33"/>
      <c r="R11" s="34" t="s">
        <v>84</v>
      </c>
      <c r="S11" s="34" t="s">
        <v>34</v>
      </c>
      <c r="T11" s="34" t="s">
        <v>35</v>
      </c>
      <c r="U11" s="34" t="s">
        <v>5</v>
      </c>
      <c r="V11" s="34" t="s">
        <v>95</v>
      </c>
      <c r="AD11" s="33"/>
      <c r="AE11" s="33"/>
      <c r="AF11" s="33">
        <v>10</v>
      </c>
      <c r="AG11" s="33">
        <f t="shared" si="1"/>
        <v>46336</v>
      </c>
      <c r="AH11" s="33" t="e">
        <f ca="1">IF(OR(AF11&gt;$AD$4,AF11&gt;$AD$3),NA(),SUMIFS(NovTable[Jumlah (Rp)],NovTable[Tipe],"Pengeluaran",NovTable[Tanggal],"&lt;="&amp;AG11))</f>
        <v>#N/A</v>
      </c>
      <c r="AI11" s="33">
        <f>IF(AF11&gt;$AD$4,NA(),Rekap!$B$19/$AD$4*AF11)</f>
        <v>79083.333333333328</v>
      </c>
      <c r="AJ11" s="33" t="str">
        <f>Master!$A$15</f>
        <v>Kategori Uji 11</v>
      </c>
      <c r="AK11" s="33">
        <f>SUMIFS(NovTable[Jumlah (Rp)],NovTable[Tipe],"Pengeluaran",NovTable[Kategori],AJ11)</f>
        <v>0</v>
      </c>
      <c r="AL11" s="33">
        <f>SUMIFS(OktTable[Jumlah (Rp)],OktTable[Tipe],"Pengeluaran",OktTable[Kategori],AJ11)</f>
        <v>0</v>
      </c>
      <c r="AM11" s="33">
        <f t="shared" si="0"/>
        <v>1.1E-5</v>
      </c>
      <c r="AN11" s="33"/>
      <c r="AO11" s="33"/>
    </row>
    <row r="12" spans="1:41" ht="24.75" customHeight="1" x14ac:dyDescent="0.25">
      <c r="A12" s="5"/>
      <c r="B12" s="3"/>
      <c r="C12" s="3"/>
      <c r="D12" s="3"/>
      <c r="E12" s="6"/>
      <c r="F12" s="49"/>
      <c r="H12" s="9" t="s">
        <v>65</v>
      </c>
      <c r="I12" t="s">
        <v>118</v>
      </c>
      <c r="K12" s="33"/>
      <c r="L12" s="33"/>
      <c r="M12" s="33"/>
      <c r="N12" s="33"/>
      <c r="O12" s="33"/>
      <c r="P12" s="33"/>
      <c r="Q12" s="33"/>
      <c r="R12" s="35" t="s">
        <v>3</v>
      </c>
      <c r="S12" s="37">
        <f>SUMIFS(OktTable[Jumlah (Rp)],OktTable[Tipe],"Pemasukan")</f>
        <v>0</v>
      </c>
      <c r="T12" s="37">
        <f>SUMIFS(NovTable[Jumlah (Rp)],NovTable[Tipe],"Pemasukan")</f>
        <v>0</v>
      </c>
      <c r="U12" s="37">
        <f>T12-S12</f>
        <v>0</v>
      </c>
      <c r="V12" s="48" t="str">
        <f>IFERROR(U12/S12,"")</f>
        <v/>
      </c>
      <c r="AD12" s="33"/>
      <c r="AE12" s="33"/>
      <c r="AF12" s="33">
        <v>11</v>
      </c>
      <c r="AG12" s="33">
        <f t="shared" si="1"/>
        <v>46337</v>
      </c>
      <c r="AH12" s="33" t="e">
        <f ca="1">IF(OR(AF12&gt;$AD$4,AF12&gt;$AD$3),NA(),SUMIFS(NovTable[Jumlah (Rp)],NovTable[Tipe],"Pengeluaran",NovTable[Tanggal],"&lt;="&amp;AG12))</f>
        <v>#N/A</v>
      </c>
      <c r="AI12" s="33">
        <f>IF(AF12&gt;$AD$4,NA(),Rekap!$B$19/$AD$4*AF12)</f>
        <v>86991.666666666657</v>
      </c>
      <c r="AJ12" s="33" t="str">
        <f>Master!$A$16</f>
        <v>Kategori Uji 12</v>
      </c>
      <c r="AK12" s="33">
        <f>SUMIFS(NovTable[Jumlah (Rp)],NovTable[Tipe],"Pengeluaran",NovTable[Kategori],AJ12)</f>
        <v>0</v>
      </c>
      <c r="AL12" s="33">
        <f>SUMIFS(OktTable[Jumlah (Rp)],OktTable[Tipe],"Pengeluaran",OktTable[Kategori],AJ12)</f>
        <v>0</v>
      </c>
      <c r="AM12" s="33">
        <f t="shared" si="0"/>
        <v>1.2E-5</v>
      </c>
      <c r="AN12" s="33"/>
      <c r="AO12" s="33"/>
    </row>
    <row r="13" spans="1:41" ht="24.75" customHeight="1" x14ac:dyDescent="0.25">
      <c r="A13" s="5"/>
      <c r="B13" s="3"/>
      <c r="C13" s="3"/>
      <c r="D13" s="3"/>
      <c r="E13" s="6"/>
      <c r="F13" s="49"/>
      <c r="H13" s="57" t="s">
        <v>74</v>
      </c>
      <c r="I13" s="58"/>
      <c r="K13" s="43" t="s">
        <v>75</v>
      </c>
      <c r="L13" s="33"/>
      <c r="M13" s="33"/>
      <c r="N13" s="33"/>
      <c r="O13" s="33"/>
      <c r="P13" s="33"/>
      <c r="Q13" s="33"/>
      <c r="R13" s="35" t="s">
        <v>4</v>
      </c>
      <c r="S13" s="37">
        <f>SUMIFS(OktTable[Jumlah (Rp)],OktTable[Tipe],"Pengeluaran")</f>
        <v>0</v>
      </c>
      <c r="T13" s="37">
        <f>SUMIFS(NovTable[Jumlah (Rp)],NovTable[Tipe],"Pengeluaran")</f>
        <v>0</v>
      </c>
      <c r="U13" s="37">
        <f>T13-S13</f>
        <v>0</v>
      </c>
      <c r="V13" s="48" t="str">
        <f>IFERROR(U13/S13,"")</f>
        <v/>
      </c>
      <c r="AD13" s="33"/>
      <c r="AE13" s="33"/>
      <c r="AF13" s="33">
        <v>12</v>
      </c>
      <c r="AG13" s="33">
        <f t="shared" si="1"/>
        <v>46338</v>
      </c>
      <c r="AH13" s="33" t="e">
        <f ca="1">IF(OR(AF13&gt;$AD$4,AF13&gt;$AD$3),NA(),SUMIFS(NovTable[Jumlah (Rp)],NovTable[Tipe],"Pengeluaran",NovTable[Tanggal],"&lt;="&amp;AG13))</f>
        <v>#N/A</v>
      </c>
      <c r="AI13" s="33">
        <f>IF(AF13&gt;$AD$4,NA(),Rekap!$B$19/$AD$4*AF13)</f>
        <v>94900</v>
      </c>
      <c r="AJ13" s="33" t="str">
        <f>Master!$A$17</f>
        <v>Kategori Uji 13</v>
      </c>
      <c r="AK13" s="33">
        <f>SUMIFS(NovTable[Jumlah (Rp)],NovTable[Tipe],"Pengeluaran",NovTable[Kategori],AJ13)</f>
        <v>0</v>
      </c>
      <c r="AL13" s="33">
        <f>SUMIFS(OktTable[Jumlah (Rp)],OktTable[Tipe],"Pengeluaran",OktTable[Kategori],AJ13)</f>
        <v>0</v>
      </c>
      <c r="AM13" s="33">
        <f t="shared" si="0"/>
        <v>1.2999999999999999E-5</v>
      </c>
      <c r="AN13" s="33"/>
      <c r="AO13" s="33"/>
    </row>
    <row r="14" spans="1:41" ht="24.75" customHeight="1" x14ac:dyDescent="0.25">
      <c r="A14" s="5"/>
      <c r="B14" s="3"/>
      <c r="C14" s="3"/>
      <c r="D14" s="3"/>
      <c r="E14" s="6"/>
      <c r="F14" s="49"/>
      <c r="H14" s="9" t="s">
        <v>25</v>
      </c>
      <c r="I14" t="s">
        <v>76</v>
      </c>
      <c r="K14" s="56" t="s">
        <v>61</v>
      </c>
      <c r="L14" s="53"/>
      <c r="M14" s="34" t="s">
        <v>70</v>
      </c>
      <c r="N14" s="33"/>
      <c r="O14" s="33"/>
      <c r="P14" s="33"/>
      <c r="Q14" s="33"/>
      <c r="R14" s="35" t="s">
        <v>96</v>
      </c>
      <c r="S14" s="47">
        <f>COUNTA(OktTable[Tanggal])</f>
        <v>0</v>
      </c>
      <c r="T14" s="47">
        <f>COUNTA(NovTable[Tanggal])</f>
        <v>0</v>
      </c>
      <c r="U14" s="47">
        <f>T14-S14</f>
        <v>0</v>
      </c>
      <c r="V14" s="48" t="str">
        <f>IFERROR(U14/S14,"")</f>
        <v/>
      </c>
      <c r="AD14" s="33"/>
      <c r="AE14" s="33"/>
      <c r="AF14" s="33">
        <v>13</v>
      </c>
      <c r="AG14" s="33">
        <f t="shared" si="1"/>
        <v>46339</v>
      </c>
      <c r="AH14" s="33" t="e">
        <f ca="1">IF(OR(AF14&gt;$AD$4,AF14&gt;$AD$3),NA(),SUMIFS(NovTable[Jumlah (Rp)],NovTable[Tipe],"Pengeluaran",NovTable[Tanggal],"&lt;="&amp;AG14))</f>
        <v>#N/A</v>
      </c>
      <c r="AI14" s="33">
        <f>IF(AF14&gt;$AD$4,NA(),Rekap!$B$19/$AD$4*AF14)</f>
        <v>102808.33333333333</v>
      </c>
      <c r="AJ14" s="33" t="str">
        <f>Master!$A$18</f>
        <v>Kategori Uji 14</v>
      </c>
      <c r="AK14" s="33">
        <f>SUMIFS(NovTable[Jumlah (Rp)],NovTable[Tipe],"Pengeluaran",NovTable[Kategori],AJ14)</f>
        <v>0</v>
      </c>
      <c r="AL14" s="33">
        <f>SUMIFS(OktTable[Jumlah (Rp)],OktTable[Tipe],"Pengeluaran",OktTable[Kategori],AJ14)</f>
        <v>0</v>
      </c>
      <c r="AM14" s="33">
        <f t="shared" si="0"/>
        <v>1.4E-5</v>
      </c>
      <c r="AN14" s="33"/>
      <c r="AO14" s="33"/>
    </row>
    <row r="15" spans="1:41" ht="24.75" customHeight="1" x14ac:dyDescent="0.25">
      <c r="A15" s="5"/>
      <c r="B15" s="3"/>
      <c r="C15" s="3"/>
      <c r="D15" s="3"/>
      <c r="E15" s="6"/>
      <c r="F15" s="49"/>
      <c r="H15" s="10" t="s">
        <v>119</v>
      </c>
      <c r="I15" s="7"/>
      <c r="K15" s="54" t="s">
        <v>77</v>
      </c>
      <c r="L15" s="53"/>
      <c r="M15" s="37">
        <f>D2</f>
        <v>0</v>
      </c>
      <c r="N15" s="33"/>
      <c r="O15" s="33"/>
      <c r="P15" s="33"/>
      <c r="Q15" s="33"/>
      <c r="R15" s="35" t="s">
        <v>97</v>
      </c>
      <c r="S15" s="37">
        <f>IFERROR(S13/S14,0)</f>
        <v>0</v>
      </c>
      <c r="T15" s="37">
        <f>IFERROR(T13/T14,0)</f>
        <v>0</v>
      </c>
      <c r="U15" s="37">
        <f>T15-S15</f>
        <v>0</v>
      </c>
      <c r="V15" s="48" t="str">
        <f>IFERROR(U15/S15,"")</f>
        <v/>
      </c>
      <c r="AD15" s="33"/>
      <c r="AE15" s="33"/>
      <c r="AF15" s="33">
        <v>14</v>
      </c>
      <c r="AG15" s="33">
        <f t="shared" si="1"/>
        <v>46340</v>
      </c>
      <c r="AH15" s="33" t="e">
        <f ca="1">IF(OR(AF15&gt;$AD$4,AF15&gt;$AD$3),NA(),SUMIFS(NovTable[Jumlah (Rp)],NovTable[Tipe],"Pengeluaran",NovTable[Tanggal],"&lt;="&amp;AG15))</f>
        <v>#N/A</v>
      </c>
      <c r="AI15" s="33">
        <f>IF(AF15&gt;$AD$4,NA(),Rekap!$B$19/$AD$4*AF15)</f>
        <v>110716.66666666666</v>
      </c>
      <c r="AJ15" s="33" t="str">
        <f>Master!$A$19</f>
        <v>Kategori Uji 15</v>
      </c>
      <c r="AK15" s="33">
        <f>SUMIFS(NovTable[Jumlah (Rp)],NovTable[Tipe],"Pengeluaran",NovTable[Kategori],AJ15)</f>
        <v>0</v>
      </c>
      <c r="AL15" s="33">
        <f>SUMIFS(OktTable[Jumlah (Rp)],OktTable[Tipe],"Pengeluaran",OktTable[Kategori],AJ15)</f>
        <v>0</v>
      </c>
      <c r="AM15" s="33">
        <f t="shared" si="0"/>
        <v>1.5E-5</v>
      </c>
      <c r="AN15" s="33"/>
      <c r="AO15" s="33"/>
    </row>
    <row r="16" spans="1:41" ht="24.75" customHeight="1" x14ac:dyDescent="0.25">
      <c r="A16" s="5"/>
      <c r="B16" s="3"/>
      <c r="C16" s="3"/>
      <c r="D16" s="3"/>
      <c r="E16" s="6"/>
      <c r="F16" s="49"/>
      <c r="H16" s="10" t="s">
        <v>92</v>
      </c>
      <c r="I16" s="7"/>
      <c r="K16" s="54" t="s">
        <v>57</v>
      </c>
      <c r="L16" s="53"/>
      <c r="M16" s="37">
        <f ca="1">O6</f>
        <v>6000000</v>
      </c>
      <c r="N16" s="33"/>
      <c r="O16" s="33"/>
      <c r="P16" s="33"/>
      <c r="Q16" s="33"/>
      <c r="R16" s="33"/>
      <c r="S16" s="33"/>
      <c r="T16" s="33"/>
      <c r="U16" s="33"/>
      <c r="V16" s="33"/>
      <c r="AD16" s="33"/>
      <c r="AE16" s="33"/>
      <c r="AF16" s="33">
        <v>15</v>
      </c>
      <c r="AG16" s="33">
        <f t="shared" si="1"/>
        <v>46341</v>
      </c>
      <c r="AH16" s="33" t="e">
        <f ca="1">IF(OR(AF16&gt;$AD$4,AF16&gt;$AD$3),NA(),SUMIFS(NovTable[Jumlah (Rp)],NovTable[Tipe],"Pengeluaran",NovTable[Tanggal],"&lt;="&amp;AG16))</f>
        <v>#N/A</v>
      </c>
      <c r="AI16" s="33">
        <f>IF(AF16&gt;$AD$4,NA(),Rekap!$B$19/$AD$4*AF16)</f>
        <v>118625</v>
      </c>
      <c r="AJ16" s="33" t="str">
        <f>Master!$A$20</f>
        <v>Kategori Uji 16</v>
      </c>
      <c r="AK16" s="33">
        <f>SUMIFS(NovTable[Jumlah (Rp)],NovTable[Tipe],"Pengeluaran",NovTable[Kategori],AJ16)</f>
        <v>0</v>
      </c>
      <c r="AL16" s="33">
        <f>SUMIFS(OktTable[Jumlah (Rp)],OktTable[Tipe],"Pengeluaran",OktTable[Kategori],AJ16)</f>
        <v>0</v>
      </c>
      <c r="AM16" s="33">
        <f t="shared" si="0"/>
        <v>1.5999999999999999E-5</v>
      </c>
      <c r="AN16" s="33"/>
      <c r="AO16" s="33"/>
    </row>
    <row r="17" spans="1:41" ht="24.75" customHeight="1" x14ac:dyDescent="0.25">
      <c r="A17" s="5"/>
      <c r="B17" s="3"/>
      <c r="C17" s="3"/>
      <c r="D17" s="3"/>
      <c r="E17" s="6"/>
      <c r="F17" s="49"/>
      <c r="H17" s="10"/>
      <c r="I17" s="7"/>
      <c r="K17" s="54" t="s">
        <v>78</v>
      </c>
      <c r="L17" s="53"/>
      <c r="M17" s="37">
        <f ca="1">M15+M16</f>
        <v>6000000</v>
      </c>
      <c r="N17" s="33"/>
      <c r="O17" s="33"/>
      <c r="P17" s="33"/>
      <c r="Q17" s="33"/>
      <c r="R17" s="43" t="s">
        <v>98</v>
      </c>
      <c r="S17" s="33"/>
      <c r="T17" s="33"/>
      <c r="U17" s="33"/>
      <c r="V17" s="33"/>
      <c r="AD17" s="33"/>
      <c r="AE17" s="33"/>
      <c r="AF17" s="33">
        <v>16</v>
      </c>
      <c r="AG17" s="33">
        <f t="shared" si="1"/>
        <v>46342</v>
      </c>
      <c r="AH17" s="33" t="e">
        <f ca="1">IF(OR(AF17&gt;$AD$4,AF17&gt;$AD$3),NA(),SUMIFS(NovTable[Jumlah (Rp)],NovTable[Tipe],"Pengeluaran",NovTable[Tanggal],"&lt;="&amp;AG17))</f>
        <v>#N/A</v>
      </c>
      <c r="AI17" s="33">
        <f>IF(AF17&gt;$AD$4,NA(),Rekap!$B$19/$AD$4*AF17)</f>
        <v>126533.33333333333</v>
      </c>
      <c r="AJ17" s="33" t="str">
        <f>Master!$A$21</f>
        <v>Kategori Uji 17</v>
      </c>
      <c r="AK17" s="33">
        <f>SUMIFS(NovTable[Jumlah (Rp)],NovTable[Tipe],"Pengeluaran",NovTable[Kategori],AJ17)</f>
        <v>0</v>
      </c>
      <c r="AL17" s="33">
        <f>SUMIFS(OktTable[Jumlah (Rp)],OktTable[Tipe],"Pengeluaran",OktTable[Kategori],AJ17)</f>
        <v>0</v>
      </c>
      <c r="AM17" s="33">
        <f t="shared" si="0"/>
        <v>1.7E-5</v>
      </c>
      <c r="AN17" s="33"/>
      <c r="AO17" s="33"/>
    </row>
    <row r="18" spans="1:41" ht="24.75" customHeight="1" x14ac:dyDescent="0.25">
      <c r="A18" s="5"/>
      <c r="B18" s="3"/>
      <c r="C18" s="3"/>
      <c r="D18" s="3"/>
      <c r="E18" s="6"/>
      <c r="F18" s="49"/>
      <c r="H18" s="10"/>
      <c r="I18" s="7"/>
      <c r="K18" s="54" t="s">
        <v>79</v>
      </c>
      <c r="L18" s="53"/>
      <c r="M18" s="37">
        <f ca="1">M29</f>
        <v>0</v>
      </c>
      <c r="N18" s="33"/>
      <c r="O18" s="33"/>
      <c r="P18" s="33"/>
      <c r="Q18" s="33"/>
      <c r="R18" s="34" t="s">
        <v>25</v>
      </c>
      <c r="S18" s="34" t="s">
        <v>34</v>
      </c>
      <c r="T18" s="34" t="s">
        <v>35</v>
      </c>
      <c r="U18" s="34" t="s">
        <v>5</v>
      </c>
      <c r="V18" s="34" t="s">
        <v>95</v>
      </c>
      <c r="AD18" s="33"/>
      <c r="AE18" s="33"/>
      <c r="AF18" s="33">
        <v>17</v>
      </c>
      <c r="AG18" s="33">
        <f t="shared" si="1"/>
        <v>46343</v>
      </c>
      <c r="AH18" s="33" t="e">
        <f ca="1">IF(OR(AF18&gt;$AD$4,AF18&gt;$AD$3),NA(),SUMIFS(NovTable[Jumlah (Rp)],NovTable[Tipe],"Pengeluaran",NovTable[Tanggal],"&lt;="&amp;AG18))</f>
        <v>#N/A</v>
      </c>
      <c r="AI18" s="33">
        <f>IF(AF18&gt;$AD$4,NA(),Rekap!$B$19/$AD$4*AF18)</f>
        <v>134441.66666666666</v>
      </c>
      <c r="AJ18" s="33" t="str">
        <f>Master!$A$22</f>
        <v>Kategori Uji 18</v>
      </c>
      <c r="AK18" s="33">
        <f>SUMIFS(NovTable[Jumlah (Rp)],NovTable[Tipe],"Pengeluaran",NovTable[Kategori],AJ18)</f>
        <v>0</v>
      </c>
      <c r="AL18" s="33">
        <f>SUMIFS(OktTable[Jumlah (Rp)],OktTable[Tipe],"Pengeluaran",OktTable[Kategori],AJ18)</f>
        <v>0</v>
      </c>
      <c r="AM18" s="33">
        <f t="shared" si="0"/>
        <v>1.8E-5</v>
      </c>
      <c r="AN18" s="33"/>
      <c r="AO18" s="33"/>
    </row>
    <row r="19" spans="1:41" ht="24.75" customHeight="1" x14ac:dyDescent="0.25">
      <c r="A19" s="5"/>
      <c r="B19" s="3"/>
      <c r="C19" s="3"/>
      <c r="D19" s="3"/>
      <c r="E19" s="6"/>
      <c r="F19" s="49"/>
      <c r="H19" s="10"/>
      <c r="I19" s="7"/>
      <c r="K19" s="52" t="s">
        <v>80</v>
      </c>
      <c r="L19" s="53"/>
      <c r="M19" s="42">
        <f ca="1">M17-M18</f>
        <v>6000000</v>
      </c>
      <c r="N19" s="33"/>
      <c r="O19" s="33"/>
      <c r="P19" s="33"/>
      <c r="Q19" s="33"/>
      <c r="R19" s="35" t="str">
        <f>IF($AO$1=0,"",INDEX($AJ$1:$AJ$23,$AO$1))</f>
        <v>Kategori Uji 24</v>
      </c>
      <c r="S19" s="37">
        <f>IF($AO$1=0,"",INDEX($AL$1:$AL$23,$AO$1))</f>
        <v>0</v>
      </c>
      <c r="T19" s="37">
        <f>IF($AO$1=0,"",INDEX($AK$1:$AK$23,$AO$1))</f>
        <v>0</v>
      </c>
      <c r="U19" s="37">
        <f>IF($R19="","",T19-S19)</f>
        <v>0</v>
      </c>
      <c r="V19" s="48" t="str">
        <f>IFERROR(U19/S19,"")</f>
        <v/>
      </c>
      <c r="AD19" s="33"/>
      <c r="AE19" s="33"/>
      <c r="AF19" s="33">
        <v>18</v>
      </c>
      <c r="AG19" s="33">
        <f t="shared" si="1"/>
        <v>46344</v>
      </c>
      <c r="AH19" s="33" t="e">
        <f ca="1">IF(OR(AF19&gt;$AD$4,AF19&gt;$AD$3),NA(),SUMIFS(NovTable[Jumlah (Rp)],NovTable[Tipe],"Pengeluaran",NovTable[Tanggal],"&lt;="&amp;AG19))</f>
        <v>#N/A</v>
      </c>
      <c r="AI19" s="33">
        <f>IF(AF19&gt;$AD$4,NA(),Rekap!$B$19/$AD$4*AF19)</f>
        <v>142350</v>
      </c>
      <c r="AJ19" s="33" t="str">
        <f>Master!$A$23</f>
        <v>Kategori Uji 19</v>
      </c>
      <c r="AK19" s="33">
        <f>SUMIFS(NovTable[Jumlah (Rp)],NovTable[Tipe],"Pengeluaran",NovTable[Kategori],AJ19)</f>
        <v>0</v>
      </c>
      <c r="AL19" s="33">
        <f>SUMIFS(OktTable[Jumlah (Rp)],OktTable[Tipe],"Pengeluaran",OktTable[Kategori],AJ19)</f>
        <v>0</v>
      </c>
      <c r="AM19" s="33">
        <f t="shared" si="0"/>
        <v>1.9000000000000001E-5</v>
      </c>
      <c r="AN19" s="33"/>
      <c r="AO19" s="33"/>
    </row>
    <row r="20" spans="1:41" ht="24.75" customHeight="1" x14ac:dyDescent="0.25">
      <c r="A20" s="5"/>
      <c r="B20" s="3"/>
      <c r="C20" s="3"/>
      <c r="D20" s="3"/>
      <c r="E20" s="6"/>
      <c r="F20" s="49"/>
      <c r="H20" s="10"/>
      <c r="I20" s="7"/>
      <c r="K20" s="52" t="s">
        <v>81</v>
      </c>
      <c r="L20" s="53"/>
      <c r="M20" s="42">
        <f ca="1">D1+M17-M18</f>
        <v>6000000</v>
      </c>
      <c r="N20" s="33"/>
      <c r="O20" s="33"/>
      <c r="P20" s="33"/>
      <c r="Q20" s="33"/>
      <c r="R20" s="35" t="str">
        <f>IF($AO$2=0,"",INDEX($AJ$1:$AJ$23,$AO$2))</f>
        <v>Kategori Uji 23</v>
      </c>
      <c r="S20" s="37">
        <f>IF($AO$2=0,"",INDEX($AL$1:$AL$23,$AO$2))</f>
        <v>0</v>
      </c>
      <c r="T20" s="37">
        <f>IF($AO$2=0,"",INDEX($AK$1:$AK$23,$AO$2))</f>
        <v>0</v>
      </c>
      <c r="U20" s="37">
        <f>IF($R20="","",T20-S20)</f>
        <v>0</v>
      </c>
      <c r="V20" s="48" t="str">
        <f>IFERROR(U20/S20,"")</f>
        <v/>
      </c>
      <c r="AD20" s="33"/>
      <c r="AE20" s="33"/>
      <c r="AF20" s="33">
        <v>19</v>
      </c>
      <c r="AG20" s="33">
        <f t="shared" si="1"/>
        <v>46345</v>
      </c>
      <c r="AH20" s="33" t="e">
        <f ca="1">IF(OR(AF20&gt;$AD$4,AF20&gt;$AD$3),NA(),SUMIFS(NovTable[Jumlah (Rp)],NovTable[Tipe],"Pengeluaran",NovTable[Tanggal],"&lt;="&amp;AG20))</f>
        <v>#N/A</v>
      </c>
      <c r="AI20" s="33">
        <f>IF(AF20&gt;$AD$4,NA(),Rekap!$B$19/$AD$4*AF20)</f>
        <v>150258.33333333331</v>
      </c>
      <c r="AJ20" s="33" t="str">
        <f>Master!$A$24</f>
        <v>Kategori Uji 20</v>
      </c>
      <c r="AK20" s="33">
        <f>SUMIFS(NovTable[Jumlah (Rp)],NovTable[Tipe],"Pengeluaran",NovTable[Kategori],AJ20)</f>
        <v>0</v>
      </c>
      <c r="AL20" s="33">
        <f>SUMIFS(OktTable[Jumlah (Rp)],OktTable[Tipe],"Pengeluaran",OktTable[Kategori],AJ20)</f>
        <v>0</v>
      </c>
      <c r="AM20" s="33">
        <f t="shared" si="0"/>
        <v>2.0000000000000002E-5</v>
      </c>
      <c r="AN20" s="33"/>
      <c r="AO20" s="33"/>
    </row>
    <row r="21" spans="1:41" ht="24.75" customHeight="1" x14ac:dyDescent="0.25">
      <c r="A21" s="5"/>
      <c r="B21" s="3"/>
      <c r="C21" s="3"/>
      <c r="D21" s="3"/>
      <c r="E21" s="6"/>
      <c r="F21" s="49"/>
      <c r="H21" s="10"/>
      <c r="I21" s="7"/>
      <c r="K21" s="46" t="s">
        <v>82</v>
      </c>
      <c r="L21" s="33"/>
      <c r="M21" s="33"/>
      <c r="N21" s="33"/>
      <c r="O21" s="33"/>
      <c r="P21" s="33"/>
      <c r="Q21" s="33"/>
      <c r="R21" s="35" t="str">
        <f>IF($AO$3=0,"",INDEX($AJ$1:$AJ$23,$AO$3))</f>
        <v>Kategori Uji 21</v>
      </c>
      <c r="S21" s="37">
        <f>IF($AO$3=0,"",INDEX($AL$1:$AL$23,$AO$3))</f>
        <v>0</v>
      </c>
      <c r="T21" s="37">
        <f>IF($AO$3=0,"",INDEX($AK$1:$AK$23,$AO$3))</f>
        <v>0</v>
      </c>
      <c r="U21" s="37">
        <f>IF($R21="","",T21-S21)</f>
        <v>0</v>
      </c>
      <c r="V21" s="48" t="str">
        <f>IFERROR(U21/S21,"")</f>
        <v/>
      </c>
      <c r="AD21" s="33"/>
      <c r="AE21" s="33"/>
      <c r="AF21" s="33">
        <v>20</v>
      </c>
      <c r="AG21" s="33">
        <f t="shared" si="1"/>
        <v>46346</v>
      </c>
      <c r="AH21" s="33" t="e">
        <f ca="1">IF(OR(AF21&gt;$AD$4,AF21&gt;$AD$3),NA(),SUMIFS(NovTable[Jumlah (Rp)],NovTable[Tipe],"Pengeluaran",NovTable[Tanggal],"&lt;="&amp;AG21))</f>
        <v>#N/A</v>
      </c>
      <c r="AI21" s="33">
        <f>IF(AF21&gt;$AD$4,NA(),Rekap!$B$19/$AD$4*AF21)</f>
        <v>158166.66666666666</v>
      </c>
      <c r="AJ21" s="33" t="str">
        <f>Master!$A$25</f>
        <v>Kategori Uji 21</v>
      </c>
      <c r="AK21" s="33">
        <f>SUMIFS(NovTable[Jumlah (Rp)],NovTable[Tipe],"Pengeluaran",NovTable[Kategori],AJ21)</f>
        <v>0</v>
      </c>
      <c r="AL21" s="33">
        <f>SUMIFS(OktTable[Jumlah (Rp)],OktTable[Tipe],"Pengeluaran",OktTable[Kategori],AJ21)</f>
        <v>0</v>
      </c>
      <c r="AM21" s="33">
        <f t="shared" si="0"/>
        <v>2.0999999999999999E-5</v>
      </c>
      <c r="AN21" s="33"/>
      <c r="AO21" s="33"/>
    </row>
    <row r="22" spans="1:41" ht="24.75" customHeight="1" x14ac:dyDescent="0.25">
      <c r="A22" s="5"/>
      <c r="B22" s="3"/>
      <c r="C22" s="3"/>
      <c r="D22" s="3"/>
      <c r="E22" s="6"/>
      <c r="F22" s="49"/>
      <c r="H22" s="10"/>
      <c r="I22" s="7"/>
      <c r="K22" s="33"/>
      <c r="L22" s="33"/>
      <c r="M22" s="33"/>
      <c r="N22" s="33"/>
      <c r="O22" s="33"/>
      <c r="P22" s="33"/>
      <c r="Q22" s="33"/>
      <c r="R22" s="35" t="str">
        <f>IF($AO$4=0,"",INDEX($AJ$1:$AJ$23,$AO$4))</f>
        <v>Kategori Uji 20</v>
      </c>
      <c r="S22" s="37">
        <f>IF($AO$4=0,"",INDEX($AL$1:$AL$23,$AO$4))</f>
        <v>0</v>
      </c>
      <c r="T22" s="37">
        <f>IF($AO$4=0,"",INDEX($AK$1:$AK$23,$AO$4))</f>
        <v>0</v>
      </c>
      <c r="U22" s="37">
        <f>IF($R22="","",T22-S22)</f>
        <v>0</v>
      </c>
      <c r="V22" s="48" t="str">
        <f>IFERROR(U22/S22,"")</f>
        <v/>
      </c>
      <c r="AD22" s="33"/>
      <c r="AE22" s="33"/>
      <c r="AF22" s="33">
        <v>21</v>
      </c>
      <c r="AG22" s="33">
        <f t="shared" si="1"/>
        <v>46347</v>
      </c>
      <c r="AH22" s="33" t="e">
        <f ca="1">IF(OR(AF22&gt;$AD$4,AF22&gt;$AD$3),NA(),SUMIFS(NovTable[Jumlah (Rp)],NovTable[Tipe],"Pengeluaran",NovTable[Tanggal],"&lt;="&amp;AG22))</f>
        <v>#N/A</v>
      </c>
      <c r="AI22" s="33">
        <f>IF(AF22&gt;$AD$4,NA(),Rekap!$B$19/$AD$4*AF22)</f>
        <v>166075</v>
      </c>
      <c r="AJ22" s="33" t="str">
        <f>Master!$A$27</f>
        <v>Kategori Uji 23</v>
      </c>
      <c r="AK22" s="33">
        <f>SUMIFS(NovTable[Jumlah (Rp)],NovTable[Tipe],"Pengeluaran",NovTable[Kategori],AJ22)</f>
        <v>0</v>
      </c>
      <c r="AL22" s="33">
        <f>SUMIFS(OktTable[Jumlah (Rp)],OktTable[Tipe],"Pengeluaran",OktTable[Kategori],AJ22)</f>
        <v>0</v>
      </c>
      <c r="AM22" s="33">
        <f t="shared" si="0"/>
        <v>2.1999999999999999E-5</v>
      </c>
      <c r="AN22" s="33"/>
      <c r="AO22" s="33"/>
    </row>
    <row r="23" spans="1:41" ht="24.75" customHeight="1" x14ac:dyDescent="0.25">
      <c r="A23" s="5"/>
      <c r="B23" s="3"/>
      <c r="C23" s="3"/>
      <c r="D23" s="3"/>
      <c r="E23" s="6"/>
      <c r="F23" s="49"/>
      <c r="H23" s="10"/>
      <c r="I23" s="7"/>
      <c r="K23" s="32" t="s">
        <v>83</v>
      </c>
      <c r="L23" s="33"/>
      <c r="M23" s="33"/>
      <c r="N23" s="33"/>
      <c r="O23" s="33"/>
      <c r="P23" s="33"/>
      <c r="Q23" s="33"/>
      <c r="R23" s="35" t="str">
        <f>IF($AO$5=0,"",INDEX($AJ$1:$AJ$23,$AO$5))</f>
        <v>Kategori Uji 19</v>
      </c>
      <c r="S23" s="37">
        <f>IF($AO$5=0,"",INDEX($AL$1:$AL$23,$AO$5))</f>
        <v>0</v>
      </c>
      <c r="T23" s="37">
        <f>IF($AO$5=0,"",INDEX($AK$1:$AK$23,$AO$5))</f>
        <v>0</v>
      </c>
      <c r="U23" s="37">
        <f>IF($R23="","",T23-S23)</f>
        <v>0</v>
      </c>
      <c r="V23" s="48" t="str">
        <f>IFERROR(U23/S23,"")</f>
        <v/>
      </c>
      <c r="AD23" s="33"/>
      <c r="AE23" s="33"/>
      <c r="AF23" s="33">
        <v>22</v>
      </c>
      <c r="AG23" s="33">
        <f t="shared" si="1"/>
        <v>46348</v>
      </c>
      <c r="AH23" s="33" t="e">
        <f ca="1">IF(OR(AF23&gt;$AD$4,AF23&gt;$AD$3),NA(),SUMIFS(NovTable[Jumlah (Rp)],NovTable[Tipe],"Pengeluaran",NovTable[Tanggal],"&lt;="&amp;AG23))</f>
        <v>#N/A</v>
      </c>
      <c r="AI23" s="33">
        <f>IF(AF23&gt;$AD$4,NA(),Rekap!$B$19/$AD$4*AF23)</f>
        <v>173983.33333333331</v>
      </c>
      <c r="AJ23" s="33" t="str">
        <f>Master!$A$28</f>
        <v>Kategori Uji 24</v>
      </c>
      <c r="AK23" s="33">
        <f>SUMIFS(NovTable[Jumlah (Rp)],NovTable[Tipe],"Pengeluaran",NovTable[Kategori],AJ23)</f>
        <v>0</v>
      </c>
      <c r="AL23" s="33">
        <f>SUMIFS(OktTable[Jumlah (Rp)],OktTable[Tipe],"Pengeluaran",OktTable[Kategori],AJ23)</f>
        <v>0</v>
      </c>
      <c r="AM23" s="33">
        <f t="shared" si="0"/>
        <v>2.3E-5</v>
      </c>
      <c r="AN23" s="33"/>
      <c r="AO23" s="33"/>
    </row>
    <row r="24" spans="1:41" ht="24.75" customHeight="1" x14ac:dyDescent="0.25">
      <c r="A24" s="5"/>
      <c r="B24" s="3"/>
      <c r="C24" s="3"/>
      <c r="D24" s="3"/>
      <c r="E24" s="6"/>
      <c r="F24" s="49"/>
      <c r="H24" s="10"/>
      <c r="I24" s="7"/>
      <c r="K24" s="56" t="s">
        <v>84</v>
      </c>
      <c r="L24" s="53"/>
      <c r="M24" s="34" t="s">
        <v>70</v>
      </c>
      <c r="N24" s="33"/>
      <c r="O24" s="33"/>
      <c r="P24" s="33"/>
      <c r="Q24" s="33"/>
      <c r="R24" s="33"/>
      <c r="S24" s="33"/>
      <c r="T24" s="33"/>
      <c r="U24" s="33"/>
      <c r="V24" s="33"/>
      <c r="AD24" s="33"/>
      <c r="AE24" s="33"/>
      <c r="AF24" s="33">
        <v>23</v>
      </c>
      <c r="AG24" s="33">
        <f t="shared" si="1"/>
        <v>46349</v>
      </c>
      <c r="AH24" s="33" t="e">
        <f ca="1">IF(OR(AF24&gt;$AD$4,AF24&gt;$AD$3),NA(),SUMIFS(NovTable[Jumlah (Rp)],NovTable[Tipe],"Pengeluaran",NovTable[Tanggal],"&lt;="&amp;AG24))</f>
        <v>#N/A</v>
      </c>
      <c r="AI24" s="33">
        <f>IF(AF24&gt;$AD$4,NA(),Rekap!$B$19/$AD$4*AF24)</f>
        <v>181891.66666666666</v>
      </c>
      <c r="AJ24" s="33"/>
      <c r="AK24" s="33"/>
      <c r="AL24" s="33"/>
      <c r="AM24" s="33"/>
      <c r="AN24" s="33"/>
      <c r="AO24" s="33"/>
    </row>
    <row r="25" spans="1:41" ht="24.75" customHeight="1" x14ac:dyDescent="0.25">
      <c r="A25" s="5"/>
      <c r="B25" s="3"/>
      <c r="C25" s="3"/>
      <c r="D25" s="3"/>
      <c r="E25" s="6"/>
      <c r="F25" s="49"/>
      <c r="H25" s="10"/>
      <c r="I25" s="7"/>
      <c r="K25" s="54" t="s">
        <v>85</v>
      </c>
      <c r="L25" s="53"/>
      <c r="M25" s="47">
        <f ca="1">AD3</f>
        <v>0</v>
      </c>
      <c r="N25" s="33"/>
      <c r="O25" s="33"/>
      <c r="P25" s="33"/>
      <c r="Q25" s="33"/>
      <c r="R25" s="32" t="s">
        <v>86</v>
      </c>
      <c r="S25" s="33"/>
      <c r="T25" s="33"/>
      <c r="U25" s="33"/>
      <c r="V25" s="33"/>
      <c r="AD25" s="33"/>
      <c r="AE25" s="33"/>
      <c r="AF25" s="33">
        <v>24</v>
      </c>
      <c r="AG25" s="33">
        <f t="shared" si="1"/>
        <v>46350</v>
      </c>
      <c r="AH25" s="33" t="e">
        <f ca="1">IF(OR(AF25&gt;$AD$4,AF25&gt;$AD$3),NA(),SUMIFS(NovTable[Jumlah (Rp)],NovTable[Tipe],"Pengeluaran",NovTable[Tanggal],"&lt;="&amp;AG25))</f>
        <v>#N/A</v>
      </c>
      <c r="AI25" s="33">
        <f>IF(AF25&gt;$AD$4,NA(),Rekap!$B$19/$AD$4*AF25)</f>
        <v>189800</v>
      </c>
      <c r="AJ25" s="33"/>
      <c r="AK25" s="33"/>
      <c r="AL25" s="33"/>
      <c r="AM25" s="33"/>
      <c r="AN25" s="33"/>
      <c r="AO25" s="33"/>
    </row>
    <row r="26" spans="1:41" ht="24.75" customHeight="1" x14ac:dyDescent="0.25">
      <c r="A26" s="5"/>
      <c r="B26" s="3"/>
      <c r="C26" s="3"/>
      <c r="D26" s="3"/>
      <c r="E26" s="6"/>
      <c r="F26" s="49"/>
      <c r="H26" s="10"/>
      <c r="I26" s="7"/>
      <c r="K26" s="54" t="s">
        <v>87</v>
      </c>
      <c r="L26" s="53"/>
      <c r="M26" s="47">
        <f>AD4</f>
        <v>30</v>
      </c>
      <c r="N26" s="33"/>
      <c r="O26" s="33"/>
      <c r="P26" s="33"/>
      <c r="Q26" s="33"/>
      <c r="R26" s="33"/>
      <c r="S26" s="33"/>
      <c r="T26" s="33"/>
      <c r="U26" s="33"/>
      <c r="V26" s="33"/>
      <c r="AD26" s="33"/>
      <c r="AE26" s="33"/>
      <c r="AF26" s="33">
        <v>25</v>
      </c>
      <c r="AG26" s="33">
        <f t="shared" si="1"/>
        <v>46351</v>
      </c>
      <c r="AH26" s="33" t="e">
        <f ca="1">IF(OR(AF26&gt;$AD$4,AF26&gt;$AD$3),NA(),SUMIFS(NovTable[Jumlah (Rp)],NovTable[Tipe],"Pengeluaran",NovTable[Tanggal],"&lt;="&amp;AG26))</f>
        <v>#N/A</v>
      </c>
      <c r="AI26" s="33">
        <f>IF(AF26&gt;$AD$4,NA(),Rekap!$B$19/$AD$4*AF26)</f>
        <v>197708.33333333331</v>
      </c>
      <c r="AJ26" s="33"/>
      <c r="AK26" s="33"/>
      <c r="AL26" s="33"/>
      <c r="AM26" s="33"/>
      <c r="AN26" s="33"/>
      <c r="AO26" s="33"/>
    </row>
    <row r="27" spans="1:41" ht="24.75" customHeight="1" x14ac:dyDescent="0.25">
      <c r="A27" s="5"/>
      <c r="B27" s="3"/>
      <c r="C27" s="3"/>
      <c r="D27" s="3"/>
      <c r="E27" s="6"/>
      <c r="F27" s="49"/>
      <c r="H27" s="10"/>
      <c r="I27" s="7"/>
      <c r="K27" s="54" t="s">
        <v>88</v>
      </c>
      <c r="L27" s="53"/>
      <c r="M27" s="37">
        <f>D3</f>
        <v>0</v>
      </c>
      <c r="N27" s="33"/>
      <c r="O27" s="33"/>
      <c r="P27" s="33"/>
      <c r="Q27" s="33"/>
      <c r="R27" s="33"/>
      <c r="S27" s="33"/>
      <c r="T27" s="33"/>
      <c r="U27" s="33"/>
      <c r="V27" s="33"/>
      <c r="AD27" s="33"/>
      <c r="AE27" s="33"/>
      <c r="AF27" s="33">
        <v>26</v>
      </c>
      <c r="AG27" s="33">
        <f t="shared" si="1"/>
        <v>46352</v>
      </c>
      <c r="AH27" s="33" t="e">
        <f ca="1">IF(OR(AF27&gt;$AD$4,AF27&gt;$AD$3),NA(),SUMIFS(NovTable[Jumlah (Rp)],NovTable[Tipe],"Pengeluaran",NovTable[Tanggal],"&lt;="&amp;AG27))</f>
        <v>#N/A</v>
      </c>
      <c r="AI27" s="33">
        <f>IF(AF27&gt;$AD$4,NA(),Rekap!$B$19/$AD$4*AF27)</f>
        <v>205616.66666666666</v>
      </c>
      <c r="AJ27" s="33"/>
      <c r="AK27" s="33"/>
      <c r="AL27" s="33"/>
      <c r="AM27" s="33"/>
      <c r="AN27" s="33"/>
      <c r="AO27" s="33"/>
    </row>
    <row r="28" spans="1:41" ht="24.75" customHeight="1" x14ac:dyDescent="0.25">
      <c r="A28" s="5"/>
      <c r="B28" s="3"/>
      <c r="C28" s="3"/>
      <c r="D28" s="3"/>
      <c r="E28" s="6"/>
      <c r="F28" s="49"/>
      <c r="K28" s="54" t="s">
        <v>89</v>
      </c>
      <c r="L28" s="53"/>
      <c r="M28" s="37">
        <f ca="1">IFERROR(M27/M25,0)</f>
        <v>0</v>
      </c>
      <c r="N28" s="33"/>
      <c r="O28" s="33"/>
      <c r="P28" s="33"/>
      <c r="Q28" s="33"/>
      <c r="R28" s="33"/>
      <c r="S28" s="33"/>
      <c r="T28" s="33"/>
      <c r="U28" s="33"/>
      <c r="V28" s="33"/>
      <c r="AD28" s="33"/>
      <c r="AE28" s="33"/>
      <c r="AF28" s="33">
        <v>27</v>
      </c>
      <c r="AG28" s="33">
        <f t="shared" si="1"/>
        <v>46353</v>
      </c>
      <c r="AH28" s="33" t="e">
        <f ca="1">IF(OR(AF28&gt;$AD$4,AF28&gt;$AD$3),NA(),SUMIFS(NovTable[Jumlah (Rp)],NovTable[Tipe],"Pengeluaran",NovTable[Tanggal],"&lt;="&amp;AG28))</f>
        <v>#N/A</v>
      </c>
      <c r="AI28" s="33">
        <f>IF(AF28&gt;$AD$4,NA(),Rekap!$B$19/$AD$4*AF28)</f>
        <v>213525</v>
      </c>
      <c r="AJ28" s="33"/>
      <c r="AK28" s="33"/>
      <c r="AL28" s="33"/>
      <c r="AM28" s="33"/>
      <c r="AN28" s="33"/>
      <c r="AO28" s="33"/>
    </row>
    <row r="29" spans="1:41" ht="24.75" customHeight="1" x14ac:dyDescent="0.25">
      <c r="A29" s="5"/>
      <c r="B29" s="3"/>
      <c r="C29" s="3"/>
      <c r="D29" s="3"/>
      <c r="E29" s="6"/>
      <c r="F29" s="49"/>
      <c r="K29" s="52" t="s">
        <v>90</v>
      </c>
      <c r="L29" s="53"/>
      <c r="M29" s="42">
        <f ca="1">M28*M26</f>
        <v>0</v>
      </c>
      <c r="N29" s="33"/>
      <c r="O29" s="33"/>
      <c r="P29" s="33"/>
      <c r="Q29" s="33"/>
      <c r="R29" s="33"/>
      <c r="S29" s="33"/>
      <c r="T29" s="33"/>
      <c r="U29" s="33"/>
      <c r="V29" s="33"/>
      <c r="AD29" s="33"/>
      <c r="AE29" s="33"/>
      <c r="AF29" s="33">
        <v>28</v>
      </c>
      <c r="AG29" s="33">
        <f t="shared" si="1"/>
        <v>46354</v>
      </c>
      <c r="AH29" s="33" t="e">
        <f ca="1">IF(OR(AF29&gt;$AD$4,AF29&gt;$AD$3),NA(),SUMIFS(NovTable[Jumlah (Rp)],NovTable[Tipe],"Pengeluaran",NovTable[Tanggal],"&lt;="&amp;AG29))</f>
        <v>#N/A</v>
      </c>
      <c r="AI29" s="33">
        <f>IF(AF29&gt;$AD$4,NA(),Rekap!$B$19/$AD$4*AF29)</f>
        <v>221433.33333333331</v>
      </c>
      <c r="AJ29" s="33"/>
      <c r="AK29" s="33"/>
      <c r="AL29" s="33"/>
      <c r="AM29" s="33"/>
      <c r="AN29" s="33"/>
      <c r="AO29" s="33"/>
    </row>
    <row r="30" spans="1:41" ht="24.75" customHeight="1" x14ac:dyDescent="0.25">
      <c r="A30" s="5"/>
      <c r="B30" s="3"/>
      <c r="C30" s="3"/>
      <c r="D30" s="3"/>
      <c r="E30" s="6"/>
      <c r="F30" s="49"/>
      <c r="K30" s="54" t="s">
        <v>91</v>
      </c>
      <c r="L30" s="53"/>
      <c r="M30" s="37">
        <f>Rekap!$B$19</f>
        <v>237250</v>
      </c>
      <c r="N30" s="33"/>
      <c r="O30" s="33"/>
      <c r="P30" s="33"/>
      <c r="Q30" s="33"/>
      <c r="R30" s="33"/>
      <c r="S30" s="33"/>
      <c r="T30" s="33"/>
      <c r="U30" s="33"/>
      <c r="V30" s="33"/>
      <c r="AD30" s="33"/>
      <c r="AE30" s="33"/>
      <c r="AF30" s="33">
        <v>29</v>
      </c>
      <c r="AG30" s="33">
        <f t="shared" si="1"/>
        <v>46355</v>
      </c>
      <c r="AH30" s="33" t="e">
        <f ca="1">IF(OR(AF30&gt;$AD$4,AF30&gt;$AD$3),NA(),SUMIFS(NovTable[Jumlah (Rp)],NovTable[Tipe],"Pengeluaran",NovTable[Tanggal],"&lt;="&amp;AG30))</f>
        <v>#N/A</v>
      </c>
      <c r="AI30" s="33">
        <f>IF(AF30&gt;$AD$4,NA(),Rekap!$B$19/$AD$4*AF30)</f>
        <v>229341.66666666666</v>
      </c>
      <c r="AJ30" s="33"/>
      <c r="AK30" s="33"/>
      <c r="AL30" s="33"/>
      <c r="AM30" s="33"/>
      <c r="AN30" s="33"/>
      <c r="AO30" s="33"/>
    </row>
    <row r="31" spans="1:41" ht="24.75" customHeight="1" x14ac:dyDescent="0.25">
      <c r="A31" s="5"/>
      <c r="B31" s="3"/>
      <c r="C31" s="3"/>
      <c r="D31" s="3"/>
      <c r="E31" s="6"/>
      <c r="F31" s="49"/>
      <c r="K31" s="54" t="s">
        <v>93</v>
      </c>
      <c r="L31" s="53"/>
      <c r="M31" s="37">
        <f>SUM(Master!$C$5:$C$81)</f>
        <v>30000000</v>
      </c>
      <c r="N31" s="33"/>
      <c r="O31" s="33"/>
      <c r="P31" s="33"/>
      <c r="Q31" s="33"/>
      <c r="R31" s="33"/>
      <c r="S31" s="33"/>
      <c r="T31" s="33"/>
      <c r="U31" s="33"/>
      <c r="V31" s="33"/>
      <c r="AD31" s="33"/>
      <c r="AE31" s="33"/>
      <c r="AF31" s="33">
        <v>30</v>
      </c>
      <c r="AG31" s="33">
        <f t="shared" si="1"/>
        <v>46356</v>
      </c>
      <c r="AH31" s="33" t="e">
        <f ca="1">IF(OR(AF31&gt;$AD$4,AF31&gt;$AD$3),NA(),SUMIFS(NovTable[Jumlah (Rp)],NovTable[Tipe],"Pengeluaran",NovTable[Tanggal],"&lt;="&amp;AG31))</f>
        <v>#N/A</v>
      </c>
      <c r="AI31" s="33">
        <f>IF(AF31&gt;$AD$4,NA(),Rekap!$B$19/$AD$4*AF31)</f>
        <v>237250</v>
      </c>
      <c r="AJ31" s="33"/>
      <c r="AK31" s="33"/>
      <c r="AL31" s="33"/>
      <c r="AM31" s="33"/>
      <c r="AN31" s="33"/>
      <c r="AO31" s="33"/>
    </row>
    <row r="32" spans="1:41" ht="24.75" customHeight="1" x14ac:dyDescent="0.25">
      <c r="A32" s="5"/>
      <c r="B32" s="3"/>
      <c r="C32" s="3"/>
      <c r="D32" s="3"/>
      <c r="E32" s="6"/>
      <c r="F32" s="49"/>
      <c r="K32" s="52" t="s">
        <v>58</v>
      </c>
      <c r="L32" s="53"/>
      <c r="M32" s="40" t="str">
        <f ca="1">IF(M25=0,"belum mulai",IF(M29&gt;M30,"di atas kebiasaan","di bawah kebiasaan"))</f>
        <v>belum mulai</v>
      </c>
      <c r="N32" s="33"/>
      <c r="O32" s="33"/>
      <c r="P32" s="33"/>
      <c r="Q32" s="33"/>
      <c r="R32" s="33"/>
      <c r="S32" s="33"/>
      <c r="T32" s="33"/>
      <c r="U32" s="33"/>
      <c r="V32" s="33"/>
      <c r="AD32" s="33"/>
      <c r="AE32" s="33"/>
      <c r="AF32" s="33">
        <v>31</v>
      </c>
      <c r="AG32" s="33">
        <f t="shared" si="1"/>
        <v>46357</v>
      </c>
      <c r="AH32" s="33" t="e">
        <f ca="1">IF(OR(AF32&gt;$AD$4,AF32&gt;$AD$3),NA(),SUMIFS(NovTable[Jumlah (Rp)],NovTable[Tipe],"Pengeluaran",NovTable[Tanggal],"&lt;="&amp;AG32))</f>
        <v>#N/A</v>
      </c>
      <c r="AI32" s="33" t="e">
        <f>IF(AF32&gt;$AD$4,NA(),Rekap!$B$19/$AD$4*AF32)</f>
        <v>#N/A</v>
      </c>
      <c r="AJ32" s="33"/>
      <c r="AK32" s="33"/>
      <c r="AL32" s="33"/>
      <c r="AM32" s="33"/>
      <c r="AN32" s="33"/>
      <c r="AO32" s="33"/>
    </row>
    <row r="33" spans="1:41" ht="24.75" customHeight="1" x14ac:dyDescent="0.25">
      <c r="A33" s="5"/>
      <c r="B33" s="3"/>
      <c r="C33" s="3"/>
      <c r="D33" s="3"/>
      <c r="E33" s="6"/>
      <c r="F33" s="49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</row>
    <row r="34" spans="1:41" ht="24.75" customHeight="1" x14ac:dyDescent="0.25">
      <c r="A34" s="5"/>
      <c r="B34" s="3"/>
      <c r="C34" s="3"/>
      <c r="D34" s="3"/>
      <c r="E34" s="6"/>
      <c r="F34" s="49"/>
      <c r="K34" s="32" t="s">
        <v>94</v>
      </c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</row>
    <row r="35" spans="1:41" ht="24.75" customHeight="1" x14ac:dyDescent="0.25">
      <c r="A35" s="5"/>
      <c r="B35" s="3"/>
      <c r="C35" s="3"/>
      <c r="D35" s="3"/>
      <c r="E35" s="6"/>
      <c r="F35" s="49"/>
      <c r="K35" s="34" t="s">
        <v>43</v>
      </c>
      <c r="L35" s="34" t="s">
        <v>37</v>
      </c>
      <c r="M35" s="34" t="s">
        <v>44</v>
      </c>
      <c r="N35" s="33"/>
      <c r="O35" s="33"/>
      <c r="P35" s="33"/>
      <c r="Q35" s="33"/>
      <c r="R35" s="33"/>
      <c r="S35" s="33"/>
      <c r="T35" s="33"/>
      <c r="U35" s="33"/>
      <c r="V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</row>
    <row r="36" spans="1:41" ht="24.75" customHeight="1" x14ac:dyDescent="0.25">
      <c r="A36" s="5"/>
      <c r="B36" s="3"/>
      <c r="C36" s="3"/>
      <c r="D36" s="3"/>
      <c r="E36" s="6"/>
      <c r="F36" s="49"/>
      <c r="K36" s="35" t="str">
        <f>Master!$G$5</f>
        <v>Tunai Uji</v>
      </c>
      <c r="L36" s="37">
        <f>SUMIFS(NovTable[Jumlah (Rp)],NovTable[Tipe],"Pengeluaran",NovTable[Pembayaran],K36)</f>
        <v>0</v>
      </c>
      <c r="M36" s="48">
        <f t="shared" ref="M36:M44" si="2">IFERROR(L36/$D$3,0)</f>
        <v>0</v>
      </c>
      <c r="N36" s="33"/>
      <c r="O36" s="33"/>
      <c r="P36" s="33"/>
      <c r="Q36" s="33"/>
      <c r="R36" s="33"/>
      <c r="S36" s="33"/>
      <c r="T36" s="33"/>
      <c r="U36" s="33"/>
      <c r="V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</row>
    <row r="37" spans="1:41" ht="24.75" customHeight="1" x14ac:dyDescent="0.25">
      <c r="A37" s="5"/>
      <c r="B37" s="3"/>
      <c r="C37" s="3"/>
      <c r="D37" s="3"/>
      <c r="E37" s="6"/>
      <c r="F37" s="49"/>
      <c r="K37" s="35" t="str">
        <f>Master!$G$6</f>
        <v>Bank Uji</v>
      </c>
      <c r="L37" s="37">
        <f>SUMIFS(NovTable[Jumlah (Rp)],NovTable[Tipe],"Pengeluaran",NovTable[Pembayaran],K37)</f>
        <v>0</v>
      </c>
      <c r="M37" s="48">
        <f t="shared" si="2"/>
        <v>0</v>
      </c>
      <c r="N37" s="33"/>
      <c r="O37" s="33"/>
      <c r="P37" s="33"/>
      <c r="Q37" s="33"/>
      <c r="R37" s="33"/>
      <c r="S37" s="33"/>
      <c r="T37" s="33"/>
      <c r="U37" s="33"/>
      <c r="V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</row>
    <row r="38" spans="1:41" ht="24.75" customHeight="1" x14ac:dyDescent="0.25">
      <c r="A38" s="5"/>
      <c r="B38" s="3"/>
      <c r="C38" s="3"/>
      <c r="D38" s="3"/>
      <c r="E38" s="6"/>
      <c r="F38" s="49"/>
      <c r="K38" s="35" t="str">
        <f>Master!$G$7</f>
        <v>Dompet Uji</v>
      </c>
      <c r="L38" s="37">
        <f>SUMIFS(NovTable[Jumlah (Rp)],NovTable[Tipe],"Pengeluaran",NovTable[Pembayaran],K38)</f>
        <v>0</v>
      </c>
      <c r="M38" s="48">
        <f t="shared" si="2"/>
        <v>0</v>
      </c>
      <c r="N38" s="33"/>
      <c r="O38" s="33"/>
      <c r="P38" s="33"/>
      <c r="Q38" s="33"/>
      <c r="R38" s="33"/>
      <c r="S38" s="33"/>
      <c r="T38" s="33"/>
      <c r="U38" s="33"/>
      <c r="V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</row>
    <row r="39" spans="1:41" ht="24.75" customHeight="1" x14ac:dyDescent="0.25">
      <c r="A39" s="5"/>
      <c r="B39" s="3"/>
      <c r="C39" s="3"/>
      <c r="D39" s="3"/>
      <c r="E39" s="6"/>
      <c r="F39" s="49"/>
      <c r="K39" s="35" t="str">
        <f>Master!$G$8</f>
        <v>Kartu Uji</v>
      </c>
      <c r="L39" s="37">
        <f>SUMIFS(NovTable[Jumlah (Rp)],NovTable[Tipe],"Pengeluaran",NovTable[Pembayaran],K39)</f>
        <v>0</v>
      </c>
      <c r="M39" s="48">
        <f t="shared" si="2"/>
        <v>0</v>
      </c>
      <c r="N39" s="33"/>
      <c r="O39" s="33"/>
      <c r="P39" s="33"/>
      <c r="Q39" s="33"/>
      <c r="R39" s="33"/>
      <c r="S39" s="33"/>
      <c r="T39" s="33"/>
      <c r="U39" s="33"/>
      <c r="V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</row>
    <row r="40" spans="1:41" ht="24.75" customHeight="1" x14ac:dyDescent="0.25">
      <c r="A40" s="5"/>
      <c r="B40" s="3"/>
      <c r="C40" s="3"/>
      <c r="D40" s="3"/>
      <c r="E40" s="6"/>
      <c r="F40" s="49"/>
      <c r="K40" s="35" t="str">
        <f>Master!$G$9</f>
        <v>Transfer Uji</v>
      </c>
      <c r="L40" s="37">
        <f>SUMIFS(NovTable[Jumlah (Rp)],NovTable[Tipe],"Pengeluaran",NovTable[Pembayaran],K40)</f>
        <v>0</v>
      </c>
      <c r="M40" s="48">
        <f t="shared" si="2"/>
        <v>0</v>
      </c>
      <c r="N40" s="33"/>
      <c r="O40" s="33"/>
      <c r="P40" s="33"/>
      <c r="Q40" s="33"/>
      <c r="R40" s="33"/>
      <c r="S40" s="33"/>
      <c r="T40" s="33"/>
      <c r="U40" s="33"/>
      <c r="V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</row>
    <row r="41" spans="1:41" ht="24.75" customHeight="1" x14ac:dyDescent="0.25">
      <c r="A41" s="5"/>
      <c r="B41" s="3"/>
      <c r="C41" s="3"/>
      <c r="D41" s="3"/>
      <c r="E41" s="6"/>
      <c r="F41" s="49"/>
      <c r="K41" s="35" t="str">
        <f>Master!$G$10</f>
        <v>Voucher Uji</v>
      </c>
      <c r="L41" s="37">
        <f>SUMIFS(NovTable[Jumlah (Rp)],NovTable[Tipe],"Pengeluaran",NovTable[Pembayaran],K41)</f>
        <v>0</v>
      </c>
      <c r="M41" s="48">
        <f t="shared" si="2"/>
        <v>0</v>
      </c>
      <c r="N41" s="33"/>
      <c r="O41" s="33"/>
      <c r="P41" s="33"/>
      <c r="Q41" s="33"/>
      <c r="R41" s="33"/>
      <c r="S41" s="33"/>
      <c r="T41" s="33"/>
      <c r="U41" s="33"/>
      <c r="V41" s="33"/>
    </row>
    <row r="42" spans="1:41" ht="24.75" customHeight="1" x14ac:dyDescent="0.25">
      <c r="A42" s="5"/>
      <c r="B42" s="3"/>
      <c r="C42" s="3"/>
      <c r="D42" s="3"/>
      <c r="E42" s="6"/>
      <c r="F42" s="49"/>
      <c r="K42" s="35" t="str">
        <f>Master!$G$11</f>
        <v>Cicilan Uji</v>
      </c>
      <c r="L42" s="37">
        <f>SUMIFS(NovTable[Jumlah (Rp)],NovTable[Tipe],"Pengeluaran",NovTable[Pembayaran],K42)</f>
        <v>0</v>
      </c>
      <c r="M42" s="48">
        <f t="shared" si="2"/>
        <v>0</v>
      </c>
      <c r="N42" s="33"/>
      <c r="O42" s="33"/>
      <c r="P42" s="33"/>
      <c r="Q42" s="33"/>
      <c r="R42" s="33"/>
      <c r="S42" s="33"/>
      <c r="T42" s="33"/>
      <c r="U42" s="33"/>
      <c r="V42" s="33"/>
    </row>
    <row r="43" spans="1:41" ht="24.75" customHeight="1" x14ac:dyDescent="0.25">
      <c r="A43" s="5"/>
      <c r="B43" s="3"/>
      <c r="C43" s="3"/>
      <c r="D43" s="3"/>
      <c r="E43" s="6"/>
      <c r="F43" s="49"/>
      <c r="K43" s="35" t="str">
        <f>Master!$G$12</f>
        <v>Lainnya Uji</v>
      </c>
      <c r="L43" s="37">
        <f>SUMIFS(NovTable[Jumlah (Rp)],NovTable[Tipe],"Pengeluaran",NovTable[Pembayaran],K43)</f>
        <v>0</v>
      </c>
      <c r="M43" s="48">
        <f t="shared" si="2"/>
        <v>0</v>
      </c>
      <c r="N43" s="33"/>
      <c r="O43" s="33"/>
      <c r="P43" s="33"/>
      <c r="Q43" s="33"/>
      <c r="R43" s="33"/>
      <c r="S43" s="33"/>
      <c r="T43" s="33"/>
      <c r="U43" s="33"/>
      <c r="V43" s="33"/>
    </row>
    <row r="44" spans="1:41" ht="24.75" customHeight="1" x14ac:dyDescent="0.25">
      <c r="A44" s="5"/>
      <c r="B44" s="3"/>
      <c r="C44" s="3"/>
      <c r="D44" s="3"/>
      <c r="E44" s="6"/>
      <c r="F44" s="49"/>
      <c r="K44" s="40" t="s">
        <v>21</v>
      </c>
      <c r="L44" s="42">
        <f>SUM(L36:L43)</f>
        <v>0</v>
      </c>
      <c r="M44" s="44">
        <f t="shared" si="2"/>
        <v>0</v>
      </c>
      <c r="N44" s="33"/>
      <c r="O44" s="33"/>
      <c r="P44" s="33"/>
      <c r="Q44" s="33"/>
      <c r="R44" s="33"/>
      <c r="S44" s="33"/>
      <c r="T44" s="33"/>
      <c r="U44" s="33"/>
      <c r="V44" s="33"/>
    </row>
    <row r="45" spans="1:41" ht="24.75" customHeight="1" x14ac:dyDescent="0.25">
      <c r="A45" s="5"/>
      <c r="B45" s="3"/>
      <c r="C45" s="3"/>
      <c r="D45" s="3"/>
      <c r="E45" s="6"/>
      <c r="F45" s="49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</row>
    <row r="46" spans="1:41" ht="24.75" customHeight="1" x14ac:dyDescent="0.25">
      <c r="A46" s="5"/>
      <c r="B46" s="3"/>
      <c r="C46" s="3"/>
      <c r="D46" s="3"/>
      <c r="E46" s="6"/>
      <c r="F46" s="49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</row>
    <row r="47" spans="1:41" ht="24.75" customHeight="1" x14ac:dyDescent="0.25">
      <c r="A47" s="5"/>
      <c r="B47" s="3"/>
      <c r="C47" s="3"/>
      <c r="D47" s="3"/>
      <c r="E47" s="6"/>
      <c r="F47" s="49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</row>
    <row r="48" spans="1:41" ht="24.75" customHeight="1" x14ac:dyDescent="0.25">
      <c r="A48" s="5"/>
      <c r="B48" s="3"/>
      <c r="C48" s="3"/>
      <c r="D48" s="3"/>
      <c r="E48" s="6"/>
      <c r="F48" s="49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</row>
    <row r="49" spans="1:22" ht="24.75" customHeight="1" x14ac:dyDescent="0.25">
      <c r="A49" s="5"/>
      <c r="B49" s="3"/>
      <c r="C49" s="3"/>
      <c r="D49" s="3"/>
      <c r="E49" s="6"/>
      <c r="F49" s="49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ht="24.75" customHeight="1" x14ac:dyDescent="0.25">
      <c r="A50" s="5"/>
      <c r="B50" s="3"/>
      <c r="C50" s="3"/>
      <c r="D50" s="3"/>
      <c r="E50" s="6"/>
      <c r="F50" s="49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</row>
    <row r="51" spans="1:22" ht="24.75" customHeight="1" x14ac:dyDescent="0.25">
      <c r="A51" s="5"/>
      <c r="B51" s="3"/>
      <c r="C51" s="3"/>
      <c r="D51" s="3"/>
      <c r="E51" s="6"/>
      <c r="F51" s="49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</row>
    <row r="52" spans="1:22" ht="24.75" customHeight="1" x14ac:dyDescent="0.25">
      <c r="A52" s="5"/>
      <c r="B52" s="3"/>
      <c r="C52" s="3"/>
      <c r="D52" s="3"/>
      <c r="E52" s="6"/>
      <c r="F52" s="49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</row>
    <row r="53" spans="1:22" ht="24.75" customHeight="1" x14ac:dyDescent="0.25">
      <c r="A53" s="5"/>
      <c r="B53" s="3"/>
      <c r="C53" s="3"/>
      <c r="D53" s="3"/>
      <c r="E53" s="6"/>
      <c r="F53" s="49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</row>
    <row r="54" spans="1:22" ht="24.75" customHeight="1" x14ac:dyDescent="0.25">
      <c r="A54" s="5"/>
      <c r="B54" s="3"/>
      <c r="C54" s="3"/>
      <c r="D54" s="3"/>
      <c r="E54" s="6"/>
      <c r="F54" s="49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</row>
    <row r="55" spans="1:22" ht="24.75" customHeight="1" x14ac:dyDescent="0.25">
      <c r="A55" s="5"/>
      <c r="B55" s="3"/>
      <c r="C55" s="3"/>
      <c r="D55" s="3"/>
      <c r="E55" s="6"/>
      <c r="F55" s="49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</row>
    <row r="56" spans="1:22" ht="24.75" customHeight="1" x14ac:dyDescent="0.25">
      <c r="A56" s="5"/>
      <c r="B56" s="3"/>
      <c r="C56" s="3"/>
      <c r="D56" s="3"/>
      <c r="E56" s="6"/>
      <c r="F56" s="49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</row>
    <row r="57" spans="1:22" ht="24.75" customHeight="1" x14ac:dyDescent="0.25">
      <c r="A57" s="5"/>
      <c r="B57" s="3"/>
      <c r="C57" s="3"/>
      <c r="D57" s="3"/>
      <c r="E57" s="6"/>
      <c r="F57" s="49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</row>
    <row r="58" spans="1:22" ht="24.75" customHeight="1" x14ac:dyDescent="0.25">
      <c r="A58" s="5"/>
      <c r="B58" s="3"/>
      <c r="C58" s="3"/>
      <c r="D58" s="3"/>
      <c r="E58" s="6"/>
      <c r="F58" s="49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</row>
    <row r="59" spans="1:22" ht="24.75" customHeight="1" x14ac:dyDescent="0.25">
      <c r="A59" s="5"/>
      <c r="B59" s="3"/>
      <c r="C59" s="3"/>
      <c r="D59" s="3"/>
      <c r="E59" s="6"/>
      <c r="F59" s="49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</row>
    <row r="60" spans="1:22" ht="24.75" customHeight="1" x14ac:dyDescent="0.25">
      <c r="A60" s="5"/>
      <c r="B60" s="3"/>
      <c r="C60" s="3"/>
      <c r="D60" s="3"/>
      <c r="E60" s="6"/>
      <c r="F60" s="49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</row>
    <row r="61" spans="1:22" ht="24.75" customHeight="1" x14ac:dyDescent="0.25">
      <c r="A61" s="5"/>
      <c r="B61" s="3"/>
      <c r="C61" s="3"/>
      <c r="D61" s="3"/>
      <c r="E61" s="6"/>
      <c r="F61" s="49"/>
    </row>
    <row r="62" spans="1:22" ht="24.75" customHeight="1" x14ac:dyDescent="0.25">
      <c r="A62" s="5"/>
      <c r="B62" s="3"/>
      <c r="C62" s="3"/>
      <c r="D62" s="3"/>
      <c r="E62" s="6"/>
      <c r="F62" s="49"/>
    </row>
    <row r="63" spans="1:22" ht="24.75" customHeight="1" x14ac:dyDescent="0.25">
      <c r="A63" s="5"/>
      <c r="B63" s="3"/>
      <c r="C63" s="3"/>
      <c r="D63" s="3"/>
      <c r="E63" s="6"/>
      <c r="F63" s="49"/>
    </row>
    <row r="64" spans="1:22" ht="24.75" customHeight="1" x14ac:dyDescent="0.25">
      <c r="A64" s="5"/>
      <c r="B64" s="3"/>
      <c r="C64" s="3"/>
      <c r="D64" s="3"/>
      <c r="E64" s="6"/>
      <c r="F64" s="49"/>
    </row>
    <row r="65" spans="1:6" ht="24.75" customHeight="1" x14ac:dyDescent="0.25">
      <c r="A65" s="5"/>
      <c r="B65" s="3"/>
      <c r="C65" s="3"/>
      <c r="D65" s="3"/>
      <c r="E65" s="6"/>
      <c r="F65" s="49"/>
    </row>
    <row r="66" spans="1:6" ht="24.75" customHeight="1" x14ac:dyDescent="0.25">
      <c r="A66" s="5"/>
      <c r="B66" s="3"/>
      <c r="C66" s="3"/>
      <c r="D66" s="3"/>
      <c r="E66" s="6"/>
      <c r="F66" s="49"/>
    </row>
    <row r="67" spans="1:6" ht="24.75" customHeight="1" x14ac:dyDescent="0.25">
      <c r="A67" s="5"/>
      <c r="B67" s="3"/>
      <c r="C67" s="3"/>
      <c r="D67" s="3"/>
      <c r="E67" s="6"/>
      <c r="F67" s="49"/>
    </row>
    <row r="68" spans="1:6" ht="24.75" customHeight="1" x14ac:dyDescent="0.25">
      <c r="A68" s="5"/>
      <c r="B68" s="3"/>
      <c r="C68" s="3"/>
      <c r="D68" s="3"/>
      <c r="E68" s="6"/>
      <c r="F68" s="49"/>
    </row>
    <row r="69" spans="1:6" ht="24.75" customHeight="1" x14ac:dyDescent="0.25">
      <c r="A69" s="5"/>
      <c r="B69" s="3"/>
      <c r="C69" s="3"/>
      <c r="D69" s="3"/>
      <c r="E69" s="6"/>
      <c r="F69" s="49"/>
    </row>
    <row r="70" spans="1:6" ht="24.75" customHeight="1" x14ac:dyDescent="0.25">
      <c r="A70" s="5"/>
      <c r="B70" s="3"/>
      <c r="C70" s="3"/>
      <c r="D70" s="3"/>
      <c r="E70" s="6"/>
      <c r="F70" s="49"/>
    </row>
    <row r="71" spans="1:6" ht="24.75" customHeight="1" x14ac:dyDescent="0.25">
      <c r="A71" s="5"/>
      <c r="B71" s="3"/>
      <c r="C71" s="3"/>
      <c r="D71" s="3"/>
      <c r="E71" s="6"/>
      <c r="F71" s="49"/>
    </row>
    <row r="72" spans="1:6" ht="24.75" customHeight="1" x14ac:dyDescent="0.25">
      <c r="A72" s="5"/>
      <c r="B72" s="3"/>
      <c r="C72" s="3"/>
      <c r="D72" s="3"/>
      <c r="E72" s="6"/>
      <c r="F72" s="49"/>
    </row>
    <row r="73" spans="1:6" ht="24.75" customHeight="1" x14ac:dyDescent="0.25">
      <c r="A73" s="5"/>
      <c r="B73" s="3"/>
      <c r="C73" s="3"/>
      <c r="D73" s="3"/>
      <c r="E73" s="6"/>
      <c r="F73" s="49"/>
    </row>
    <row r="74" spans="1:6" ht="24.75" customHeight="1" x14ac:dyDescent="0.25">
      <c r="A74" s="5"/>
      <c r="B74" s="3"/>
      <c r="C74" s="3"/>
      <c r="D74" s="3"/>
      <c r="E74" s="6"/>
      <c r="F74" s="49"/>
    </row>
    <row r="75" spans="1:6" ht="24.75" customHeight="1" x14ac:dyDescent="0.25">
      <c r="A75" s="5"/>
      <c r="B75" s="3"/>
      <c r="C75" s="3"/>
      <c r="D75" s="3"/>
      <c r="E75" s="6"/>
      <c r="F75" s="49"/>
    </row>
    <row r="76" spans="1:6" ht="24.75" customHeight="1" x14ac:dyDescent="0.25">
      <c r="A76" s="5"/>
      <c r="B76" s="3"/>
      <c r="C76" s="3"/>
      <c r="D76" s="3"/>
      <c r="E76" s="6"/>
      <c r="F76" s="49"/>
    </row>
    <row r="77" spans="1:6" ht="24.75" customHeight="1" x14ac:dyDescent="0.25">
      <c r="A77" s="5"/>
      <c r="B77" s="3"/>
      <c r="C77" s="3"/>
      <c r="D77" s="3"/>
      <c r="E77" s="6"/>
      <c r="F77" s="49"/>
    </row>
    <row r="78" spans="1:6" ht="24.75" customHeight="1" x14ac:dyDescent="0.25">
      <c r="A78" s="5"/>
      <c r="B78" s="3"/>
      <c r="C78" s="3"/>
      <c r="D78" s="3"/>
      <c r="E78" s="6"/>
      <c r="F78" s="49"/>
    </row>
    <row r="79" spans="1:6" ht="24.75" customHeight="1" x14ac:dyDescent="0.25">
      <c r="A79" s="5"/>
      <c r="B79" s="3"/>
      <c r="C79" s="3"/>
      <c r="D79" s="3"/>
      <c r="E79" s="6"/>
      <c r="F79" s="49"/>
    </row>
    <row r="80" spans="1:6" ht="24.75" customHeight="1" x14ac:dyDescent="0.25">
      <c r="A80" s="5"/>
      <c r="B80" s="3"/>
      <c r="C80" s="3"/>
      <c r="D80" s="3"/>
      <c r="E80" s="6"/>
      <c r="F80" s="49"/>
    </row>
    <row r="81" spans="1:6" ht="24.75" customHeight="1" x14ac:dyDescent="0.25">
      <c r="A81" s="5"/>
      <c r="B81" s="3"/>
      <c r="C81" s="3"/>
      <c r="D81" s="3"/>
      <c r="E81" s="6"/>
      <c r="F81" s="49"/>
    </row>
    <row r="82" spans="1:6" ht="24.75" customHeight="1" x14ac:dyDescent="0.25">
      <c r="A82" s="5"/>
      <c r="B82" s="3"/>
      <c r="C82" s="3"/>
      <c r="D82" s="3"/>
      <c r="E82" s="6"/>
      <c r="F82" s="49"/>
    </row>
    <row r="83" spans="1:6" ht="24.75" customHeight="1" x14ac:dyDescent="0.25">
      <c r="A83" s="5"/>
      <c r="B83" s="3"/>
      <c r="C83" s="3"/>
      <c r="D83" s="3"/>
      <c r="E83" s="6"/>
      <c r="F83" s="49"/>
    </row>
    <row r="84" spans="1:6" ht="24.75" customHeight="1" x14ac:dyDescent="0.25">
      <c r="A84" s="5"/>
      <c r="B84" s="3"/>
      <c r="C84" s="3"/>
      <c r="D84" s="3"/>
      <c r="E84" s="6"/>
      <c r="F84" s="49"/>
    </row>
    <row r="85" spans="1:6" ht="24.75" customHeight="1" x14ac:dyDescent="0.25">
      <c r="A85" s="5"/>
      <c r="B85" s="3"/>
      <c r="C85" s="3"/>
      <c r="D85" s="3"/>
      <c r="E85" s="6"/>
      <c r="F85" s="49"/>
    </row>
    <row r="86" spans="1:6" ht="24.75" customHeight="1" x14ac:dyDescent="0.25">
      <c r="A86" s="5"/>
      <c r="B86" s="3"/>
      <c r="C86" s="3"/>
      <c r="D86" s="3"/>
      <c r="E86" s="6"/>
      <c r="F86" s="49"/>
    </row>
    <row r="87" spans="1:6" ht="24.75" customHeight="1" x14ac:dyDescent="0.25">
      <c r="A87" s="5"/>
      <c r="B87" s="3"/>
      <c r="C87" s="3"/>
      <c r="D87" s="3"/>
      <c r="E87" s="6"/>
      <c r="F87" s="49"/>
    </row>
    <row r="88" spans="1:6" ht="24.75" customHeight="1" x14ac:dyDescent="0.25">
      <c r="A88" s="5"/>
      <c r="B88" s="3"/>
      <c r="C88" s="3"/>
      <c r="D88" s="3"/>
      <c r="E88" s="6"/>
      <c r="F88" s="49"/>
    </row>
    <row r="89" spans="1:6" ht="24.75" customHeight="1" x14ac:dyDescent="0.25">
      <c r="A89" s="5"/>
      <c r="B89" s="3"/>
      <c r="C89" s="3"/>
      <c r="D89" s="3"/>
      <c r="E89" s="6"/>
      <c r="F89" s="49"/>
    </row>
    <row r="90" spans="1:6" ht="24.75" customHeight="1" x14ac:dyDescent="0.25">
      <c r="A90" s="5"/>
      <c r="B90" s="3"/>
      <c r="C90" s="3"/>
      <c r="D90" s="3"/>
      <c r="E90" s="6"/>
      <c r="F90" s="49"/>
    </row>
    <row r="91" spans="1:6" ht="24.75" customHeight="1" x14ac:dyDescent="0.25">
      <c r="A91" s="5"/>
      <c r="B91" s="3"/>
      <c r="C91" s="3"/>
      <c r="D91" s="3"/>
      <c r="E91" s="6"/>
      <c r="F91" s="49"/>
    </row>
    <row r="92" spans="1:6" ht="24.75" customHeight="1" x14ac:dyDescent="0.25">
      <c r="A92" s="5"/>
      <c r="B92" s="3"/>
      <c r="C92" s="3"/>
      <c r="D92" s="3"/>
      <c r="E92" s="6"/>
      <c r="F92" s="49"/>
    </row>
    <row r="93" spans="1:6" ht="24.75" customHeight="1" x14ac:dyDescent="0.25">
      <c r="A93" s="5"/>
      <c r="B93" s="3"/>
      <c r="C93" s="3"/>
      <c r="D93" s="3"/>
      <c r="E93" s="6"/>
      <c r="F93" s="49"/>
    </row>
    <row r="94" spans="1:6" ht="24.75" customHeight="1" x14ac:dyDescent="0.25">
      <c r="A94" s="5"/>
      <c r="B94" s="3"/>
      <c r="C94" s="3"/>
      <c r="D94" s="3"/>
      <c r="E94" s="6"/>
      <c r="F94" s="49"/>
    </row>
    <row r="95" spans="1:6" ht="24.75" customHeight="1" x14ac:dyDescent="0.25">
      <c r="A95" s="5"/>
      <c r="B95" s="3"/>
      <c r="C95" s="3"/>
      <c r="D95" s="3"/>
      <c r="E95" s="6"/>
      <c r="F95" s="49"/>
    </row>
    <row r="96" spans="1:6" ht="24.75" customHeight="1" x14ac:dyDescent="0.25">
      <c r="A96" s="5"/>
      <c r="B96" s="3"/>
      <c r="C96" s="3"/>
      <c r="D96" s="3"/>
      <c r="E96" s="6"/>
      <c r="F96" s="49"/>
    </row>
    <row r="97" spans="1:6" ht="24.75" customHeight="1" x14ac:dyDescent="0.25">
      <c r="A97" s="5"/>
      <c r="B97" s="3"/>
      <c r="C97" s="3"/>
      <c r="D97" s="3"/>
      <c r="E97" s="6"/>
      <c r="F97" s="49"/>
    </row>
    <row r="98" spans="1:6" ht="24.75" customHeight="1" x14ac:dyDescent="0.25">
      <c r="A98" s="5"/>
      <c r="B98" s="3"/>
      <c r="C98" s="3"/>
      <c r="D98" s="3"/>
      <c r="E98" s="6"/>
      <c r="F98" s="49"/>
    </row>
    <row r="99" spans="1:6" ht="24.75" customHeight="1" x14ac:dyDescent="0.25">
      <c r="A99" s="5"/>
      <c r="B99" s="3"/>
      <c r="C99" s="3"/>
      <c r="D99" s="3"/>
      <c r="E99" s="6"/>
      <c r="F99" s="49"/>
    </row>
    <row r="100" spans="1:6" ht="24.75" customHeight="1" x14ac:dyDescent="0.25">
      <c r="A100" s="5"/>
      <c r="B100" s="3"/>
      <c r="C100" s="3"/>
      <c r="D100" s="3"/>
      <c r="E100" s="6"/>
      <c r="F100" s="49"/>
    </row>
    <row r="101" spans="1:6" ht="24.75" customHeight="1" x14ac:dyDescent="0.25">
      <c r="A101" s="5"/>
      <c r="B101" s="3"/>
      <c r="C101" s="3"/>
      <c r="D101" s="3"/>
      <c r="E101" s="6"/>
      <c r="F101" s="49"/>
    </row>
    <row r="102" spans="1:6" ht="24.75" customHeight="1" x14ac:dyDescent="0.25">
      <c r="A102" s="5"/>
      <c r="B102" s="3"/>
      <c r="C102" s="3"/>
      <c r="D102" s="3"/>
      <c r="E102" s="6"/>
      <c r="F102" s="49"/>
    </row>
    <row r="103" spans="1:6" ht="24.75" customHeight="1" x14ac:dyDescent="0.25">
      <c r="A103" s="5"/>
      <c r="B103" s="3"/>
      <c r="C103" s="3"/>
      <c r="D103" s="3"/>
      <c r="E103" s="6"/>
      <c r="F103" s="49"/>
    </row>
    <row r="104" spans="1:6" ht="24.75" customHeight="1" x14ac:dyDescent="0.25">
      <c r="A104" s="5"/>
      <c r="B104" s="3"/>
      <c r="C104" s="3"/>
      <c r="D104" s="3"/>
      <c r="E104" s="6"/>
      <c r="F104" s="49"/>
    </row>
    <row r="105" spans="1:6" ht="24.75" customHeight="1" x14ac:dyDescent="0.25">
      <c r="A105" s="5"/>
      <c r="B105" s="3"/>
      <c r="C105" s="3"/>
      <c r="D105" s="3"/>
      <c r="E105" s="6"/>
      <c r="F105" s="49"/>
    </row>
  </sheetData>
  <mergeCells count="21">
    <mergeCell ref="H13:I13"/>
    <mergeCell ref="K30:L30"/>
    <mergeCell ref="K18:L18"/>
    <mergeCell ref="K25:L25"/>
    <mergeCell ref="K24:L24"/>
    <mergeCell ref="K32:L32"/>
    <mergeCell ref="K31:L31"/>
    <mergeCell ref="K27:L27"/>
    <mergeCell ref="K29:L29"/>
    <mergeCell ref="R8:T8"/>
    <mergeCell ref="K14:L14"/>
    <mergeCell ref="K17:L17"/>
    <mergeCell ref="K10:L10"/>
    <mergeCell ref="K28:L28"/>
    <mergeCell ref="K19:L19"/>
    <mergeCell ref="K15:L15"/>
    <mergeCell ref="K9:L9"/>
    <mergeCell ref="K26:L26"/>
    <mergeCell ref="K11:L11"/>
    <mergeCell ref="K20:L20"/>
    <mergeCell ref="K16:L16"/>
  </mergeCells>
  <conditionalFormatting sqref="M19">
    <cfRule type="cellIs" dxfId="17" priority="5" operator="lessThan">
      <formula>0</formula>
    </cfRule>
    <cfRule type="cellIs" dxfId="16" priority="6" operator="greaterThanOrEqual">
      <formula>0</formula>
    </cfRule>
  </conditionalFormatting>
  <conditionalFormatting sqref="M32">
    <cfRule type="cellIs" dxfId="15" priority="7" operator="equal">
      <formula>"di atas kebiasaan"</formula>
    </cfRule>
    <cfRule type="cellIs" dxfId="14" priority="8" operator="equal">
      <formula>"di bawah kebiasaan"</formula>
    </cfRule>
  </conditionalFormatting>
  <conditionalFormatting sqref="U12:U15">
    <cfRule type="cellIs" dxfId="13" priority="9" operator="greaterThan">
      <formula>0</formula>
    </cfRule>
    <cfRule type="cellIs" dxfId="12" priority="10" operator="lessThan">
      <formula>0</formula>
    </cfRule>
  </conditionalFormatting>
  <conditionalFormatting sqref="U19:U23">
    <cfRule type="cellIs" dxfId="11" priority="11" operator="greaterThan">
      <formula>0</formula>
    </cfRule>
    <cfRule type="cellIs" dxfId="10" priority="12" operator="lessThan">
      <formula>0</formula>
    </cfRule>
  </conditionalFormatting>
  <conditionalFormatting sqref="B6:B505">
    <cfRule type="expression" dxfId="9" priority="13" stopIfTrue="1">
      <formula>TRIM($B6)="Pengeluaran"</formula>
    </cfRule>
    <cfRule type="expression" dxfId="8" priority="14" stopIfTrue="1">
      <formula>TRIM($B6)="Pemasukan"</formula>
    </cfRule>
  </conditionalFormatting>
  <dataValidations count="3">
    <dataValidation type="list" errorStyle="warning" allowBlank="1" errorTitle="Di luar daftar" error="Nilai ini tidak ada di sheet Master. Tetap pakai?" sqref="B6:B505" xr:uid="{00000000-0002-0000-0B00-000000000000}">
      <formula1>ListTipe</formula1>
    </dataValidation>
    <dataValidation type="list" errorStyle="warning" allowBlank="1" errorTitle="Di luar daftar" error="Nilai ini tidak ada di sheet Master. Tetap pakai?" sqref="C6:C505" xr:uid="{00000000-0002-0000-0B00-000001000000}">
      <formula1>ListPembayaran</formula1>
    </dataValidation>
    <dataValidation type="list" errorStyle="warning" allowBlank="1" errorTitle="Di luar daftar" error="Nilai ini tidak ada di sheet Master. Tetap pakai?" sqref="D6:D505" xr:uid="{00000000-0002-0000-0B00-000002000000}">
      <formula1>ListKategori</formula1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5" name="Button 1">
              <controlPr defaultSize="0" print="0" autoFill="0" autoPict="0" macro="TambahBarisBaru_ActiveSheet">
                <anchor moveWithCells="1" sizeWithCells="1">
                  <from>
                    <xdr:col>4</xdr:col>
                    <xdr:colOff>1457325</xdr:colOff>
                    <xdr:row>1</xdr:row>
                    <xdr:rowOff>285750</xdr:rowOff>
                  </from>
                  <to>
                    <xdr:col>5</xdr:col>
                    <xdr:colOff>3038475</xdr:colOff>
                    <xdr:row>3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/>
  <dimension ref="A1:AO105"/>
  <sheetViews>
    <sheetView tabSelected="1" workbookViewId="0">
      <selection activeCell="E31" sqref="E31"/>
    </sheetView>
  </sheetViews>
  <sheetFormatPr defaultRowHeight="24.75" customHeight="1" x14ac:dyDescent="0.25"/>
  <cols>
    <col min="1" max="1" width="15" customWidth="1"/>
    <col min="2" max="2" width="14" customWidth="1"/>
    <col min="3" max="3" width="20.85546875" customWidth="1"/>
    <col min="4" max="5" width="22.140625" customWidth="1"/>
    <col min="6" max="6" width="46" customWidth="1"/>
    <col min="7" max="7" width="2" customWidth="1"/>
    <col min="8" max="8" width="16.7109375" customWidth="1"/>
    <col min="9" max="9" width="16.42578125" customWidth="1"/>
    <col min="11" max="11" width="26" customWidth="1"/>
    <col min="12" max="12" width="9" customWidth="1"/>
    <col min="13" max="15" width="16" customWidth="1"/>
    <col min="16" max="16" width="19" customWidth="1"/>
    <col min="17" max="17" width="2" customWidth="1"/>
    <col min="18" max="18" width="22" customWidth="1"/>
    <col min="19" max="21" width="15" customWidth="1"/>
    <col min="22" max="22" width="34" customWidth="1"/>
    <col min="30" max="41" width="13" hidden="1" customWidth="1"/>
  </cols>
  <sheetData>
    <row r="1" spans="1:41" ht="24.75" customHeight="1" x14ac:dyDescent="0.25">
      <c r="A1" s="15" t="s">
        <v>45</v>
      </c>
      <c r="B1" s="16">
        <v>2500000</v>
      </c>
      <c r="C1" s="17" t="s">
        <v>46</v>
      </c>
      <c r="D1" s="16">
        <v>2000000</v>
      </c>
      <c r="K1" s="32" t="s">
        <v>47</v>
      </c>
      <c r="L1" s="33"/>
      <c r="M1" s="33"/>
      <c r="N1" s="33"/>
      <c r="O1" s="33"/>
      <c r="P1" s="33"/>
      <c r="Q1" s="33"/>
      <c r="R1" s="32" t="s">
        <v>48</v>
      </c>
      <c r="S1" s="33"/>
      <c r="T1" s="33"/>
      <c r="U1" s="33"/>
      <c r="V1" s="33"/>
      <c r="AD1" s="33">
        <f>DATE(2026,12,1)</f>
        <v>46357</v>
      </c>
      <c r="AE1" s="33"/>
      <c r="AF1" s="33" t="s">
        <v>49</v>
      </c>
      <c r="AG1" s="33"/>
      <c r="AH1" s="33" t="s">
        <v>50</v>
      </c>
      <c r="AI1" s="33" t="s">
        <v>51</v>
      </c>
      <c r="AJ1" s="33" t="str">
        <f>Master!$A$5</f>
        <v>Kategori Uji 01</v>
      </c>
      <c r="AK1" s="33">
        <f>SUMIFS(DesTable[Jumlah (Rp)],DesTable[Tipe],"Pengeluaran",DesTable[Kategori],AJ1)</f>
        <v>0</v>
      </c>
      <c r="AL1" s="33">
        <f>SUMIFS(NovTable[Jumlah (Rp)],NovTable[Tipe],"Pengeluaran",NovTable[Kategori],AJ1)</f>
        <v>0</v>
      </c>
      <c r="AM1" s="33">
        <f t="shared" ref="AM1:AM23" si="0">AK1+ROW()/1000000</f>
        <v>9.9999999999999995E-7</v>
      </c>
      <c r="AN1" s="33">
        <f>MAX($AM$1:$AM$23)</f>
        <v>99000.000004999994</v>
      </c>
      <c r="AO1" s="33">
        <f>IFERROR(MATCH(AN1,$AM$1:$AM$23,0),0)</f>
        <v>5</v>
      </c>
    </row>
    <row r="2" spans="1:41" ht="24.75" customHeight="1" x14ac:dyDescent="0.25">
      <c r="A2" s="15" t="s">
        <v>5</v>
      </c>
      <c r="B2" s="7">
        <f>IF(B1=0,"",B1-D4)</f>
        <v>599000</v>
      </c>
      <c r="C2" s="17" t="s">
        <v>52</v>
      </c>
      <c r="D2" s="2">
        <f>SUMIFS(DesTable[Jumlah (Rp)],DesTable[Tipe],"Pemasukan")</f>
        <v>0</v>
      </c>
      <c r="E2" s="8">
        <f>IFERROR(D2/(D2+D3),0)</f>
        <v>0</v>
      </c>
      <c r="K2" s="34" t="s">
        <v>53</v>
      </c>
      <c r="L2" s="34" t="s">
        <v>54</v>
      </c>
      <c r="M2" s="34" t="s">
        <v>55</v>
      </c>
      <c r="N2" s="34" t="s">
        <v>56</v>
      </c>
      <c r="O2" s="34" t="s">
        <v>57</v>
      </c>
      <c r="P2" s="34" t="s">
        <v>58</v>
      </c>
      <c r="Q2" s="33"/>
      <c r="R2" s="34" t="s">
        <v>59</v>
      </c>
      <c r="S2" s="34" t="s">
        <v>49</v>
      </c>
      <c r="T2" s="34" t="s">
        <v>25</v>
      </c>
      <c r="U2" s="34" t="s">
        <v>60</v>
      </c>
      <c r="V2" s="34" t="s">
        <v>61</v>
      </c>
      <c r="AD2" s="33">
        <f>EOMONTH(AD1,0)</f>
        <v>46387</v>
      </c>
      <c r="AE2" s="33"/>
      <c r="AF2" s="33">
        <v>1</v>
      </c>
      <c r="AG2" s="33">
        <f t="shared" ref="AG2:AG32" si="1">DATE(2026,12,AF2)</f>
        <v>46357</v>
      </c>
      <c r="AH2" s="33" t="e">
        <f ca="1">IF(OR(AF2&gt;$AD$4,AF2&gt;$AD$3),NA(),SUMIFS(DesTable[Jumlah (Rp)],DesTable[Tipe],"Pengeluaran",DesTable[Tanggal],"&lt;="&amp;AG2))</f>
        <v>#N/A</v>
      </c>
      <c r="AI2" s="33">
        <f>IF(AF2&gt;$AD$4,NA(),Rekap!$B$19/$AD$4*AF2)</f>
        <v>7653.2258064516127</v>
      </c>
      <c r="AJ2" s="33" t="str">
        <f>Master!$A$6</f>
        <v>Kategori Uji 02</v>
      </c>
      <c r="AK2" s="33">
        <f>SUMIFS(DesTable[Jumlah (Rp)],DesTable[Tipe],"Pengeluaran",DesTable[Kategori],AJ2)</f>
        <v>0</v>
      </c>
      <c r="AL2" s="33">
        <f>SUMIFS(NovTable[Jumlah (Rp)],NovTable[Tipe],"Pengeluaran",NovTable[Kategori],AJ2)</f>
        <v>0</v>
      </c>
      <c r="AM2" s="33">
        <f t="shared" si="0"/>
        <v>1.9999999999999999E-6</v>
      </c>
      <c r="AN2" s="33">
        <f>SUMPRODUCT(MAX(($AM$1:$AM$23&lt;AN1)*$AM$1:$AM$23))</f>
        <v>2.3E-5</v>
      </c>
      <c r="AO2" s="33">
        <f>IFERROR(MATCH(AN2,$AM$1:$AM$23,0),0)</f>
        <v>23</v>
      </c>
    </row>
    <row r="3" spans="1:41" ht="24.75" customHeight="1" x14ac:dyDescent="0.25">
      <c r="A3" s="15" t="s">
        <v>6</v>
      </c>
      <c r="B3" s="18" t="str">
        <f>IF(D2=0,"",(D2-D3)/D2)</f>
        <v/>
      </c>
      <c r="C3" s="19" t="s">
        <v>62</v>
      </c>
      <c r="D3" s="2">
        <f>SUMIFS(DesTable[Jumlah (Rp)],DesTable[Tipe],"Pengeluaran")</f>
        <v>99000</v>
      </c>
      <c r="E3" s="8">
        <f>IFERROR(D3/(D2+D3),0)</f>
        <v>1</v>
      </c>
      <c r="K3" s="35" t="str">
        <f>"Uang Makan (hari kerja "&amp;TEXT($AD$1-1,"mmmm")&amp;")"</f>
        <v>Uang Makan (hari kerja November)</v>
      </c>
      <c r="L3" s="36">
        <v>10</v>
      </c>
      <c r="M3" s="37">
        <f>$M$10*$M$11</f>
        <v>0</v>
      </c>
      <c r="N3" s="37">
        <f>SUMIFS(DesTable[Jumlah (Rp)],DesTable[Tipe],"Pemasukan",DesTable[Kategori],"Uang Makan")</f>
        <v>0</v>
      </c>
      <c r="O3" s="37">
        <f ca="1">IF(OR(N3&gt;0,TODAY()&gt;$AD$2),0,N(M3))</f>
        <v>0</v>
      </c>
      <c r="P3" s="35" t="str">
        <f ca="1">IF(N3&gt;0,"sudah cair",IF(TODAY()&gt;$AD$2,"bulan sudah lewat",IF(N(M3)=0,"isi estimasi dulu","menunggu tgl 10")))</f>
        <v>isi estimasi dulu</v>
      </c>
      <c r="Q3" s="33"/>
      <c r="R3" s="36">
        <v>1</v>
      </c>
      <c r="S3" s="38">
        <f>IF($AE$6=0,"",INDEX(DesTable[Tanggal],$AE$6))</f>
        <v>46387</v>
      </c>
      <c r="T3" s="35" t="str">
        <f>IF($AE$6=0,"",INDEX(DesTable[Kategori],$AE$6))</f>
        <v>Kategori Uji 05</v>
      </c>
      <c r="U3" s="37">
        <f>IF($AE$6=0,"",INDEX(DesTable[Jumlah (Rp)],$AE$6))</f>
        <v>99000</v>
      </c>
      <c r="V3" s="35" t="str">
        <f>IF($AE$6=0,"",INDEX(DesTable[Keterangan],$AE$6))</f>
        <v>Belanja uji zeta</v>
      </c>
      <c r="AD3" s="33">
        <f ca="1">IF(TODAY()&gt;=AD2,DAY(AD2),IF(TODAY()&lt;AD1,0,DAY(TODAY())))</f>
        <v>0</v>
      </c>
      <c r="AE3" s="33"/>
      <c r="AF3" s="33">
        <v>2</v>
      </c>
      <c r="AG3" s="33">
        <f t="shared" si="1"/>
        <v>46358</v>
      </c>
      <c r="AH3" s="33" t="e">
        <f ca="1">IF(OR(AF3&gt;$AD$4,AF3&gt;$AD$3),NA(),SUMIFS(DesTable[Jumlah (Rp)],DesTable[Tipe],"Pengeluaran",DesTable[Tanggal],"&lt;="&amp;AG3))</f>
        <v>#N/A</v>
      </c>
      <c r="AI3" s="33">
        <f>IF(AF3&gt;$AD$4,NA(),Rekap!$B$19/$AD$4*AF3)</f>
        <v>15306.451612903225</v>
      </c>
      <c r="AJ3" s="33" t="str">
        <f>Master!$A$7</f>
        <v>Kategori Uji 03</v>
      </c>
      <c r="AK3" s="33">
        <f>SUMIFS(DesTable[Jumlah (Rp)],DesTable[Tipe],"Pengeluaran",DesTable[Kategori],AJ3)</f>
        <v>0</v>
      </c>
      <c r="AL3" s="33">
        <f>SUMIFS(NovTable[Jumlah (Rp)],NovTable[Tipe],"Pengeluaran",NovTable[Kategori],AJ3)</f>
        <v>0</v>
      </c>
      <c r="AM3" s="33">
        <f t="shared" si="0"/>
        <v>3.0000000000000001E-6</v>
      </c>
      <c r="AN3" s="33">
        <f>SUMPRODUCT(MAX(($AM$1:$AM$23&lt;AN2)*$AM$1:$AM$23))</f>
        <v>2.1999999999999999E-5</v>
      </c>
      <c r="AO3" s="33">
        <f>IFERROR(MATCH(AN3,$AM$1:$AM$23,0),0)</f>
        <v>22</v>
      </c>
    </row>
    <row r="4" spans="1:41" ht="24.75" customHeight="1" x14ac:dyDescent="0.25">
      <c r="A4" s="15" t="s">
        <v>63</v>
      </c>
      <c r="B4">
        <f>COUNTA(DesTable[Tanggal])</f>
        <v>1</v>
      </c>
      <c r="C4" s="17" t="s">
        <v>64</v>
      </c>
      <c r="D4" s="20">
        <f>D1+D2-D3</f>
        <v>1901000</v>
      </c>
      <c r="K4" s="35" t="s">
        <v>144</v>
      </c>
      <c r="L4" s="36">
        <v>10</v>
      </c>
      <c r="M4" s="39">
        <v>5000000</v>
      </c>
      <c r="N4" s="37">
        <f>SUMIFS(DesTable[Jumlah (Rp)],DesTable[Tipe],"Pemasukan",DesTable[Kategori],"Gaji")</f>
        <v>0</v>
      </c>
      <c r="O4" s="37">
        <f ca="1">IF(OR(N4&gt;1000000,TODAY()&gt;$AD$2),0,N(M4))</f>
        <v>5000000</v>
      </c>
      <c r="P4" s="35" t="str">
        <f ca="1">IF(N4&gt;1000000,"sudah cair",IF(TODAY()&gt;$AD$2,"bulan sudah lewat",IF(N(M4)=0,"isi estimasi dulu","menunggu tgl 25")))</f>
        <v>menunggu tgl 25</v>
      </c>
      <c r="Q4" s="33"/>
      <c r="R4" s="36">
        <v>2</v>
      </c>
      <c r="S4" s="38" t="str">
        <f>IF($AE$7=0,"",INDEX(DesTable[Tanggal],$AE$7))</f>
        <v/>
      </c>
      <c r="T4" s="35" t="str">
        <f>IF($AE$7=0,"",INDEX(DesTable[Kategori],$AE$7))</f>
        <v/>
      </c>
      <c r="U4" s="37" t="str">
        <f>IF($AE$7=0,"",INDEX(DesTable[Jumlah (Rp)],$AE$7))</f>
        <v/>
      </c>
      <c r="V4" s="35" t="str">
        <f>IF($AE$7=0,"",INDEX(DesTable[Keterangan],$AE$7))</f>
        <v/>
      </c>
      <c r="AD4" s="33">
        <f>DAY(AD2)</f>
        <v>31</v>
      </c>
      <c r="AE4" s="33"/>
      <c r="AF4" s="33">
        <v>3</v>
      </c>
      <c r="AG4" s="33">
        <f t="shared" si="1"/>
        <v>46359</v>
      </c>
      <c r="AH4" s="33" t="e">
        <f ca="1">IF(OR(AF4&gt;$AD$4,AF4&gt;$AD$3),NA(),SUMIFS(DesTable[Jumlah (Rp)],DesTable[Tipe],"Pengeluaran",DesTable[Tanggal],"&lt;="&amp;AG4))</f>
        <v>#N/A</v>
      </c>
      <c r="AI4" s="33">
        <f>IF(AF4&gt;$AD$4,NA(),Rekap!$B$19/$AD$4*AF4)</f>
        <v>22959.677419354837</v>
      </c>
      <c r="AJ4" s="33" t="str">
        <f>Master!$A$8</f>
        <v>Kategori Uji 04</v>
      </c>
      <c r="AK4" s="33">
        <f>SUMIFS(DesTable[Jumlah (Rp)],DesTable[Tipe],"Pengeluaran",DesTable[Kategori],AJ4)</f>
        <v>0</v>
      </c>
      <c r="AL4" s="33">
        <f>SUMIFS(NovTable[Jumlah (Rp)],NovTable[Tipe],"Pengeluaran",NovTable[Kategori],AJ4)</f>
        <v>0</v>
      </c>
      <c r="AM4" s="33">
        <f t="shared" si="0"/>
        <v>3.9999999999999998E-6</v>
      </c>
      <c r="AN4" s="33">
        <f>SUMPRODUCT(MAX(($AM$1:$AM$23&lt;AN3)*$AM$1:$AM$23))</f>
        <v>2.0999999999999999E-5</v>
      </c>
      <c r="AO4" s="33">
        <f>IFERROR(MATCH(AN4,$AM$1:$AM$23,0),0)</f>
        <v>21</v>
      </c>
    </row>
    <row r="5" spans="1:41" ht="24.75" customHeight="1" x14ac:dyDescent="0.25">
      <c r="A5" s="1" t="s">
        <v>49</v>
      </c>
      <c r="B5" s="1" t="s">
        <v>65</v>
      </c>
      <c r="C5" s="1" t="s">
        <v>66</v>
      </c>
      <c r="D5" s="1" t="s">
        <v>25</v>
      </c>
      <c r="E5" s="1" t="s">
        <v>67</v>
      </c>
      <c r="F5" s="51" t="s">
        <v>61</v>
      </c>
      <c r="K5" s="35" t="s">
        <v>145</v>
      </c>
      <c r="L5" s="36">
        <v>20</v>
      </c>
      <c r="M5" s="39">
        <v>1000000</v>
      </c>
      <c r="N5" s="37">
        <f>SUMIFS(DesTable[Jumlah (Rp)],DesTable[Tipe],"Pemasukan",DesTable[Kategori],"Freelance")</f>
        <v>0</v>
      </c>
      <c r="O5" s="37">
        <f ca="1">IF(OR(N5&gt;0,TODAY()&gt;$AD$2),0,N(M5))</f>
        <v>1000000</v>
      </c>
      <c r="P5" s="35" t="str">
        <f ca="1">IF(N5&gt;0,"sudah cair",IF(TODAY()&gt;$AD$2,"bulan sudah lewat",IF(N(M5)=0,"isi estimasi dulu","menunggu tgl 28")))</f>
        <v>menunggu tgl 28</v>
      </c>
      <c r="Q5" s="33"/>
      <c r="R5" s="36">
        <v>3</v>
      </c>
      <c r="S5" s="38" t="str">
        <f>IF($AE$8=0,"",INDEX(DesTable[Tanggal],$AE$8))</f>
        <v/>
      </c>
      <c r="T5" s="35" t="str">
        <f>IF($AE$8=0,"",INDEX(DesTable[Kategori],$AE$8))</f>
        <v/>
      </c>
      <c r="U5" s="37" t="str">
        <f>IF($AE$8=0,"",INDEX(DesTable[Jumlah (Rp)],$AE$8))</f>
        <v/>
      </c>
      <c r="V5" s="35" t="str">
        <f>IF($AE$8=0,"",INDEX(DesTable[Keterangan],$AE$8))</f>
        <v/>
      </c>
      <c r="AD5" s="33"/>
      <c r="AE5" s="33"/>
      <c r="AF5" s="33">
        <v>4</v>
      </c>
      <c r="AG5" s="33">
        <f t="shared" si="1"/>
        <v>46360</v>
      </c>
      <c r="AH5" s="33" t="e">
        <f ca="1">IF(OR(AF5&gt;$AD$4,AF5&gt;$AD$3),NA(),SUMIFS(DesTable[Jumlah (Rp)],DesTable[Tipe],"Pengeluaran",DesTable[Tanggal],"&lt;="&amp;AG5))</f>
        <v>#N/A</v>
      </c>
      <c r="AI5" s="33">
        <f>IF(AF5&gt;$AD$4,NA(),Rekap!$B$19/$AD$4*AF5)</f>
        <v>30612.903225806451</v>
      </c>
      <c r="AJ5" s="33" t="str">
        <f>Master!$A$9</f>
        <v>Kategori Uji 05</v>
      </c>
      <c r="AK5" s="33">
        <f>SUMIFS(DesTable[Jumlah (Rp)],DesTable[Tipe],"Pengeluaran",DesTable[Kategori],AJ5)</f>
        <v>99000</v>
      </c>
      <c r="AL5" s="33">
        <f>SUMIFS(NovTable[Jumlah (Rp)],NovTable[Tipe],"Pengeluaran",NovTable[Kategori],AJ5)</f>
        <v>0</v>
      </c>
      <c r="AM5" s="33">
        <f t="shared" si="0"/>
        <v>99000.000004999994</v>
      </c>
      <c r="AN5" s="33">
        <f>SUMPRODUCT(MAX(($AM$1:$AM$23&lt;AN4)*$AM$1:$AM$23))</f>
        <v>2.0000000000000002E-5</v>
      </c>
      <c r="AO5" s="33">
        <f>IFERROR(MATCH(AN5,$AM$1:$AM$23,0),0)</f>
        <v>20</v>
      </c>
    </row>
    <row r="6" spans="1:41" ht="24.75" customHeight="1" x14ac:dyDescent="0.25">
      <c r="A6" s="5">
        <v>46387</v>
      </c>
      <c r="B6" s="3" t="s">
        <v>4</v>
      </c>
      <c r="C6" s="3" t="s">
        <v>153</v>
      </c>
      <c r="D6" s="3" t="s">
        <v>124</v>
      </c>
      <c r="E6" s="6">
        <v>99000</v>
      </c>
      <c r="F6" s="49" t="s">
        <v>166</v>
      </c>
      <c r="K6" s="40" t="s">
        <v>21</v>
      </c>
      <c r="L6" s="41"/>
      <c r="M6" s="42">
        <f>SUM(M3:M5)</f>
        <v>6000000</v>
      </c>
      <c r="N6" s="42">
        <f>SUM(N3:N5)</f>
        <v>0</v>
      </c>
      <c r="O6" s="42">
        <f ca="1">SUM(O3:O5)</f>
        <v>6000000</v>
      </c>
      <c r="P6" s="41"/>
      <c r="Q6" s="33"/>
      <c r="R6" s="36">
        <v>4</v>
      </c>
      <c r="S6" s="38" t="str">
        <f>IF($AE$9=0,"",INDEX(DesTable[Tanggal],$AE$9))</f>
        <v/>
      </c>
      <c r="T6" s="35" t="str">
        <f>IF($AE$9=0,"",INDEX(DesTable[Kategori],$AE$9))</f>
        <v/>
      </c>
      <c r="U6" s="37" t="str">
        <f>IF($AE$9=0,"",INDEX(DesTable[Jumlah (Rp)],$AE$9))</f>
        <v/>
      </c>
      <c r="V6" s="35" t="str">
        <f>IF($AE$9=0,"",INDEX(DesTable[Keterangan],$AE$9))</f>
        <v/>
      </c>
      <c r="AD6" s="33">
        <f>SUMPRODUCT(MAX((DesTable[Tipe]="Pengeluaran")*(DesTable[Jumlah (Rp)]+ROW(DesTable[Jumlah (Rp)])/1000000)))</f>
        <v>99000.000006000002</v>
      </c>
      <c r="AE6" s="33">
        <f>IFERROR(SUMPRODUCT(MATCH(AD6,(DesTable[Tipe]="Pengeluaran")*(DesTable[Jumlah (Rp)]+ROW(DesTable[Jumlah (Rp)])/1000000),0)),0)</f>
        <v>1</v>
      </c>
      <c r="AF6" s="33">
        <v>5</v>
      </c>
      <c r="AG6" s="33">
        <f t="shared" si="1"/>
        <v>46361</v>
      </c>
      <c r="AH6" s="33" t="e">
        <f ca="1">IF(OR(AF6&gt;$AD$4,AF6&gt;$AD$3),NA(),SUMIFS(DesTable[Jumlah (Rp)],DesTable[Tipe],"Pengeluaran",DesTable[Tanggal],"&lt;="&amp;AG6))</f>
        <v>#N/A</v>
      </c>
      <c r="AI6" s="33">
        <f>IF(AF6&gt;$AD$4,NA(),Rekap!$B$19/$AD$4*AF6)</f>
        <v>38266.129032258061</v>
      </c>
      <c r="AJ6" s="33" t="str">
        <f>Master!$A$10</f>
        <v>Kategori Uji 06</v>
      </c>
      <c r="AK6" s="33">
        <f>SUMIFS(DesTable[Jumlah (Rp)],DesTable[Tipe],"Pengeluaran",DesTable[Kategori],AJ6)</f>
        <v>0</v>
      </c>
      <c r="AL6" s="33">
        <f>SUMIFS(NovTable[Jumlah (Rp)],NovTable[Tipe],"Pengeluaran",NovTable[Kategori],AJ6)</f>
        <v>0</v>
      </c>
      <c r="AM6" s="33">
        <f t="shared" si="0"/>
        <v>6.0000000000000002E-6</v>
      </c>
      <c r="AN6" s="33"/>
      <c r="AO6" s="33"/>
    </row>
    <row r="7" spans="1:41" ht="24.75" customHeight="1" x14ac:dyDescent="0.25">
      <c r="A7" s="5"/>
      <c r="B7" s="3"/>
      <c r="C7" s="3"/>
      <c r="D7" s="3"/>
      <c r="E7" s="6"/>
      <c r="F7" s="49"/>
      <c r="K7" s="33"/>
      <c r="L7" s="33"/>
      <c r="M7" s="33"/>
      <c r="N7" s="33"/>
      <c r="O7" s="33"/>
      <c r="P7" s="33"/>
      <c r="Q7" s="33"/>
      <c r="R7" s="36">
        <v>5</v>
      </c>
      <c r="S7" s="38" t="str">
        <f>IF($AE$10=0,"",INDEX(DesTable[Tanggal],$AE$10))</f>
        <v/>
      </c>
      <c r="T7" s="35" t="str">
        <f>IF($AE$10=0,"",INDEX(DesTable[Kategori],$AE$10))</f>
        <v/>
      </c>
      <c r="U7" s="37" t="str">
        <f>IF($AE$10=0,"",INDEX(DesTable[Jumlah (Rp)],$AE$10))</f>
        <v/>
      </c>
      <c r="V7" s="35" t="str">
        <f>IF($AE$10=0,"",INDEX(DesTable[Keterangan],$AE$10))</f>
        <v/>
      </c>
      <c r="AD7" s="33">
        <f>SUMPRODUCT(MAX((DesTable[Tipe]="Pengeluaran")*((DesTable[Jumlah (Rp)]+ROW(DesTable[Jumlah (Rp)])/1000000)&lt;AD6)*(DesTable[Jumlah (Rp)]+ROW(DesTable[Jumlah (Rp)])/1000000)))</f>
        <v>0</v>
      </c>
      <c r="AE7" s="33">
        <f>IFERROR(SUMPRODUCT(MATCH(AD7,(DesTable[Tipe]="Pengeluaran")*(DesTable[Jumlah (Rp)]+ROW(DesTable[Jumlah (Rp)])/1000000),0)),0)</f>
        <v>0</v>
      </c>
      <c r="AF7" s="33">
        <v>6</v>
      </c>
      <c r="AG7" s="33">
        <f t="shared" si="1"/>
        <v>46362</v>
      </c>
      <c r="AH7" s="33" t="e">
        <f ca="1">IF(OR(AF7&gt;$AD$4,AF7&gt;$AD$3),NA(),SUMIFS(DesTable[Jumlah (Rp)],DesTable[Tipe],"Pengeluaran",DesTable[Tanggal],"&lt;="&amp;AG7))</f>
        <v>#N/A</v>
      </c>
      <c r="AI7" s="33">
        <f>IF(AF7&gt;$AD$4,NA(),Rekap!$B$19/$AD$4*AF7)</f>
        <v>45919.354838709674</v>
      </c>
      <c r="AJ7" s="33" t="str">
        <f>Master!$A$11</f>
        <v>Kategori Uji 07</v>
      </c>
      <c r="AK7" s="33">
        <f>SUMIFS(DesTable[Jumlah (Rp)],DesTable[Tipe],"Pengeluaran",DesTable[Kategori],AJ7)</f>
        <v>0</v>
      </c>
      <c r="AL7" s="33">
        <f>SUMIFS(NovTable[Jumlah (Rp)],NovTable[Tipe],"Pengeluaran",NovTable[Kategori],AJ7)</f>
        <v>0</v>
      </c>
      <c r="AM7" s="33">
        <f t="shared" si="0"/>
        <v>6.9999999999999999E-6</v>
      </c>
      <c r="AN7" s="33"/>
      <c r="AO7" s="33"/>
    </row>
    <row r="8" spans="1:41" ht="24.75" customHeight="1" x14ac:dyDescent="0.25">
      <c r="A8" s="5"/>
      <c r="B8" s="3"/>
      <c r="C8" s="3"/>
      <c r="D8" s="3"/>
      <c r="E8" s="6"/>
      <c r="F8" s="49"/>
      <c r="K8" s="43" t="s">
        <v>68</v>
      </c>
      <c r="L8" s="33"/>
      <c r="M8" s="33"/>
      <c r="N8" s="33"/>
      <c r="O8" s="33"/>
      <c r="P8" s="33"/>
      <c r="Q8" s="33"/>
      <c r="R8" s="52" t="s">
        <v>69</v>
      </c>
      <c r="S8" s="55"/>
      <c r="T8" s="55"/>
      <c r="U8" s="42">
        <f>SUM(U3:U7)</f>
        <v>99000</v>
      </c>
      <c r="V8" s="44">
        <f>IFERROR(U8/$D$3,0)</f>
        <v>1</v>
      </c>
      <c r="AD8" s="33">
        <f>SUMPRODUCT(MAX((DesTable[Tipe]="Pengeluaran")*((DesTable[Jumlah (Rp)]+ROW(DesTable[Jumlah (Rp)])/1000000)&lt;AD7)*(DesTable[Jumlah (Rp)]+ROW(DesTable[Jumlah (Rp)])/1000000)))</f>
        <v>0</v>
      </c>
      <c r="AE8" s="33">
        <f>IFERROR(SUMPRODUCT(MATCH(AD8,(DesTable[Tipe]="Pengeluaran")*(DesTable[Jumlah (Rp)]+ROW(DesTable[Jumlah (Rp)])/1000000),0)),0)</f>
        <v>0</v>
      </c>
      <c r="AF8" s="33">
        <v>7</v>
      </c>
      <c r="AG8" s="33">
        <f t="shared" si="1"/>
        <v>46363</v>
      </c>
      <c r="AH8" s="33" t="e">
        <f ca="1">IF(OR(AF8&gt;$AD$4,AF8&gt;$AD$3),NA(),SUMIFS(DesTable[Jumlah (Rp)],DesTable[Tipe],"Pengeluaran",DesTable[Tanggal],"&lt;="&amp;AG8))</f>
        <v>#N/A</v>
      </c>
      <c r="AI8" s="33">
        <f>IF(AF8&gt;$AD$4,NA(),Rekap!$B$19/$AD$4*AF8)</f>
        <v>53572.580645161288</v>
      </c>
      <c r="AJ8" s="33" t="str">
        <f>Master!$A$12</f>
        <v>Kategori Uji 08</v>
      </c>
      <c r="AK8" s="33">
        <f>SUMIFS(DesTable[Jumlah (Rp)],DesTable[Tipe],"Pengeluaran",DesTable[Kategori],AJ8)</f>
        <v>0</v>
      </c>
      <c r="AL8" s="33">
        <f>SUMIFS(NovTable[Jumlah (Rp)],NovTable[Tipe],"Pengeluaran",NovTable[Kategori],AJ8)</f>
        <v>0</v>
      </c>
      <c r="AM8" s="33">
        <f t="shared" si="0"/>
        <v>7.9999999999999996E-6</v>
      </c>
      <c r="AN8" s="33"/>
      <c r="AO8" s="33"/>
    </row>
    <row r="9" spans="1:41" ht="24.75" customHeight="1" x14ac:dyDescent="0.25">
      <c r="A9" s="5"/>
      <c r="B9" s="3"/>
      <c r="C9" s="3"/>
      <c r="D9" s="3"/>
      <c r="E9" s="6"/>
      <c r="F9" s="49"/>
      <c r="K9" s="56" t="s">
        <v>61</v>
      </c>
      <c r="L9" s="53"/>
      <c r="M9" s="34" t="s">
        <v>70</v>
      </c>
      <c r="N9" s="33"/>
      <c r="O9" s="33"/>
      <c r="P9" s="33"/>
      <c r="Q9" s="33"/>
      <c r="R9" s="33"/>
      <c r="S9" s="33"/>
      <c r="T9" s="33"/>
      <c r="U9" s="33"/>
      <c r="V9" s="33"/>
      <c r="AD9" s="33">
        <f>SUMPRODUCT(MAX((DesTable[Tipe]="Pengeluaran")*((DesTable[Jumlah (Rp)]+ROW(DesTable[Jumlah (Rp)])/1000000)&lt;AD8)*(DesTable[Jumlah (Rp)]+ROW(DesTable[Jumlah (Rp)])/1000000)))</f>
        <v>0</v>
      </c>
      <c r="AE9" s="33">
        <f>IFERROR(SUMPRODUCT(MATCH(AD9,(DesTable[Tipe]="Pengeluaran")*(DesTable[Jumlah (Rp)]+ROW(DesTable[Jumlah (Rp)])/1000000),0)),0)</f>
        <v>0</v>
      </c>
      <c r="AF9" s="33">
        <v>8</v>
      </c>
      <c r="AG9" s="33">
        <f t="shared" si="1"/>
        <v>46364</v>
      </c>
      <c r="AH9" s="33" t="e">
        <f ca="1">IF(OR(AF9&gt;$AD$4,AF9&gt;$AD$3),NA(),SUMIFS(DesTable[Jumlah (Rp)],DesTable[Tipe],"Pengeluaran",DesTable[Tanggal],"&lt;="&amp;AG9))</f>
        <v>#N/A</v>
      </c>
      <c r="AI9" s="33">
        <f>IF(AF9&gt;$AD$4,NA(),Rekap!$B$19/$AD$4*AF9)</f>
        <v>61225.806451612902</v>
      </c>
      <c r="AJ9" s="33" t="str">
        <f>Master!$A$13</f>
        <v>Kategori Uji 09</v>
      </c>
      <c r="AK9" s="33">
        <f>SUMIFS(DesTable[Jumlah (Rp)],DesTable[Tipe],"Pengeluaran",DesTable[Kategori],AJ9)</f>
        <v>0</v>
      </c>
      <c r="AL9" s="33">
        <f>SUMIFS(NovTable[Jumlah (Rp)],NovTable[Tipe],"Pengeluaran",NovTable[Kategori],AJ9)</f>
        <v>0</v>
      </c>
      <c r="AM9" s="33">
        <f t="shared" si="0"/>
        <v>9.0000000000000002E-6</v>
      </c>
      <c r="AN9" s="33"/>
      <c r="AO9" s="33"/>
    </row>
    <row r="10" spans="1:41" ht="24.75" customHeight="1" x14ac:dyDescent="0.25">
      <c r="A10" s="5"/>
      <c r="B10" s="3"/>
      <c r="C10" s="3"/>
      <c r="D10" s="3"/>
      <c r="E10" s="6"/>
      <c r="F10" s="49"/>
      <c r="K10" s="54" t="str">
        <f>"Hari kerja "&amp;TEXT($AD$1-1,"mmmm")</f>
        <v>Hari kerja November</v>
      </c>
      <c r="L10" s="53"/>
      <c r="M10" s="45"/>
      <c r="N10" s="33"/>
      <c r="O10" s="33"/>
      <c r="P10" s="33"/>
      <c r="Q10" s="33"/>
      <c r="R10" s="32" t="s">
        <v>71</v>
      </c>
      <c r="S10" s="33"/>
      <c r="T10" s="33"/>
      <c r="U10" s="33"/>
      <c r="V10" s="33"/>
      <c r="AD10" s="33">
        <f>SUMPRODUCT(MAX((DesTable[Tipe]="Pengeluaran")*((DesTable[Jumlah (Rp)]+ROW(DesTable[Jumlah (Rp)])/1000000)&lt;AD9)*(DesTable[Jumlah (Rp)]+ROW(DesTable[Jumlah (Rp)])/1000000)))</f>
        <v>0</v>
      </c>
      <c r="AE10" s="33">
        <f>IFERROR(SUMPRODUCT(MATCH(AD10,(DesTable[Tipe]="Pengeluaran")*(DesTable[Jumlah (Rp)]+ROW(DesTable[Jumlah (Rp)])/1000000),0)),0)</f>
        <v>0</v>
      </c>
      <c r="AF10" s="33">
        <v>9</v>
      </c>
      <c r="AG10" s="33">
        <f t="shared" si="1"/>
        <v>46365</v>
      </c>
      <c r="AH10" s="33" t="e">
        <f ca="1">IF(OR(AF10&gt;$AD$4,AF10&gt;$AD$3),NA(),SUMIFS(DesTable[Jumlah (Rp)],DesTable[Tipe],"Pengeluaran",DesTable[Tanggal],"&lt;="&amp;AG10))</f>
        <v>#N/A</v>
      </c>
      <c r="AI10" s="33">
        <f>IF(AF10&gt;$AD$4,NA(),Rekap!$B$19/$AD$4*AF10)</f>
        <v>68879.032258064515</v>
      </c>
      <c r="AJ10" s="33" t="str">
        <f>Master!$A$14</f>
        <v>Kategori Uji 10</v>
      </c>
      <c r="AK10" s="33">
        <f>SUMIFS(DesTable[Jumlah (Rp)],DesTable[Tipe],"Pengeluaran",DesTable[Kategori],AJ10)</f>
        <v>0</v>
      </c>
      <c r="AL10" s="33">
        <f>SUMIFS(NovTable[Jumlah (Rp)],NovTable[Tipe],"Pengeluaran",NovTable[Kategori],AJ10)</f>
        <v>0</v>
      </c>
      <c r="AM10" s="33">
        <f t="shared" si="0"/>
        <v>1.0000000000000001E-5</v>
      </c>
      <c r="AN10" s="33"/>
      <c r="AO10" s="33"/>
    </row>
    <row r="11" spans="1:41" ht="24.75" customHeight="1" x14ac:dyDescent="0.25">
      <c r="A11" s="5"/>
      <c r="B11" s="3"/>
      <c r="C11" s="3"/>
      <c r="D11" s="3"/>
      <c r="E11" s="6"/>
      <c r="F11" s="49"/>
      <c r="K11" s="54" t="s">
        <v>72</v>
      </c>
      <c r="L11" s="53"/>
      <c r="M11" s="39">
        <v>50000</v>
      </c>
      <c r="N11" s="33"/>
      <c r="O11" s="33"/>
      <c r="P11" s="33"/>
      <c r="Q11" s="33"/>
      <c r="R11" s="34" t="s">
        <v>84</v>
      </c>
      <c r="S11" s="34" t="s">
        <v>35</v>
      </c>
      <c r="T11" s="34" t="s">
        <v>36</v>
      </c>
      <c r="U11" s="34" t="s">
        <v>5</v>
      </c>
      <c r="V11" s="34" t="s">
        <v>95</v>
      </c>
      <c r="AD11" s="33"/>
      <c r="AE11" s="33"/>
      <c r="AF11" s="33">
        <v>10</v>
      </c>
      <c r="AG11" s="33">
        <f t="shared" si="1"/>
        <v>46366</v>
      </c>
      <c r="AH11" s="33" t="e">
        <f ca="1">IF(OR(AF11&gt;$AD$4,AF11&gt;$AD$3),NA(),SUMIFS(DesTable[Jumlah (Rp)],DesTable[Tipe],"Pengeluaran",DesTable[Tanggal],"&lt;="&amp;AG11))</f>
        <v>#N/A</v>
      </c>
      <c r="AI11" s="33">
        <f>IF(AF11&gt;$AD$4,NA(),Rekap!$B$19/$AD$4*AF11)</f>
        <v>76532.258064516122</v>
      </c>
      <c r="AJ11" s="33" t="str">
        <f>Master!$A$15</f>
        <v>Kategori Uji 11</v>
      </c>
      <c r="AK11" s="33">
        <f>SUMIFS(DesTable[Jumlah (Rp)],DesTable[Tipe],"Pengeluaran",DesTable[Kategori],AJ11)</f>
        <v>0</v>
      </c>
      <c r="AL11" s="33">
        <f>SUMIFS(NovTable[Jumlah (Rp)],NovTable[Tipe],"Pengeluaran",NovTable[Kategori],AJ11)</f>
        <v>0</v>
      </c>
      <c r="AM11" s="33">
        <f t="shared" si="0"/>
        <v>1.1E-5</v>
      </c>
      <c r="AN11" s="33"/>
      <c r="AO11" s="33"/>
    </row>
    <row r="12" spans="1:41" ht="24.75" customHeight="1" x14ac:dyDescent="0.25">
      <c r="A12" s="5"/>
      <c r="B12" s="3"/>
      <c r="C12" s="3"/>
      <c r="D12" s="3"/>
      <c r="E12" s="6"/>
      <c r="F12" s="49"/>
      <c r="H12" s="9" t="s">
        <v>65</v>
      </c>
      <c r="I12" t="s">
        <v>4</v>
      </c>
      <c r="K12" s="33"/>
      <c r="L12" s="33"/>
      <c r="M12" s="33"/>
      <c r="N12" s="33"/>
      <c r="O12" s="33"/>
      <c r="P12" s="33"/>
      <c r="Q12" s="33"/>
      <c r="R12" s="35" t="s">
        <v>3</v>
      </c>
      <c r="S12" s="37">
        <f>SUMIFS(NovTable[Jumlah (Rp)],NovTable[Tipe],"Pemasukan")</f>
        <v>0</v>
      </c>
      <c r="T12" s="37">
        <f>SUMIFS(DesTable[Jumlah (Rp)],DesTable[Tipe],"Pemasukan")</f>
        <v>0</v>
      </c>
      <c r="U12" s="37">
        <f>T12-S12</f>
        <v>0</v>
      </c>
      <c r="V12" s="48" t="str">
        <f>IFERROR(U12/S12,"")</f>
        <v/>
      </c>
      <c r="AD12" s="33"/>
      <c r="AE12" s="33"/>
      <c r="AF12" s="33">
        <v>11</v>
      </c>
      <c r="AG12" s="33">
        <f t="shared" si="1"/>
        <v>46367</v>
      </c>
      <c r="AH12" s="33" t="e">
        <f ca="1">IF(OR(AF12&gt;$AD$4,AF12&gt;$AD$3),NA(),SUMIFS(DesTable[Jumlah (Rp)],DesTable[Tipe],"Pengeluaran",DesTable[Tanggal],"&lt;="&amp;AG12))</f>
        <v>#N/A</v>
      </c>
      <c r="AI12" s="33">
        <f>IF(AF12&gt;$AD$4,NA(),Rekap!$B$19/$AD$4*AF12)</f>
        <v>84185.483870967742</v>
      </c>
      <c r="AJ12" s="33" t="str">
        <f>Master!$A$16</f>
        <v>Kategori Uji 12</v>
      </c>
      <c r="AK12" s="33">
        <f>SUMIFS(DesTable[Jumlah (Rp)],DesTable[Tipe],"Pengeluaran",DesTable[Kategori],AJ12)</f>
        <v>0</v>
      </c>
      <c r="AL12" s="33">
        <f>SUMIFS(NovTable[Jumlah (Rp)],NovTable[Tipe],"Pengeluaran",NovTable[Kategori],AJ12)</f>
        <v>0</v>
      </c>
      <c r="AM12" s="33">
        <f t="shared" si="0"/>
        <v>1.2E-5</v>
      </c>
      <c r="AN12" s="33"/>
      <c r="AO12" s="33"/>
    </row>
    <row r="13" spans="1:41" ht="24.75" customHeight="1" x14ac:dyDescent="0.25">
      <c r="A13" s="5"/>
      <c r="B13" s="3"/>
      <c r="C13" s="3"/>
      <c r="D13" s="3"/>
      <c r="E13" s="6"/>
      <c r="F13" s="49"/>
      <c r="H13" s="57" t="s">
        <v>74</v>
      </c>
      <c r="I13" s="58"/>
      <c r="K13" s="43" t="s">
        <v>75</v>
      </c>
      <c r="L13" s="33"/>
      <c r="M13" s="33"/>
      <c r="N13" s="33"/>
      <c r="O13" s="33"/>
      <c r="P13" s="33"/>
      <c r="Q13" s="33"/>
      <c r="R13" s="35" t="s">
        <v>4</v>
      </c>
      <c r="S13" s="37">
        <f>SUMIFS(NovTable[Jumlah (Rp)],NovTable[Tipe],"Pengeluaran")</f>
        <v>0</v>
      </c>
      <c r="T13" s="37">
        <f>SUMIFS(DesTable[Jumlah (Rp)],DesTable[Tipe],"Pengeluaran")</f>
        <v>99000</v>
      </c>
      <c r="U13" s="37">
        <f>T13-S13</f>
        <v>99000</v>
      </c>
      <c r="V13" s="48" t="str">
        <f>IFERROR(U13/S13,"")</f>
        <v/>
      </c>
      <c r="AD13" s="33"/>
      <c r="AE13" s="33"/>
      <c r="AF13" s="33">
        <v>12</v>
      </c>
      <c r="AG13" s="33">
        <f t="shared" si="1"/>
        <v>46368</v>
      </c>
      <c r="AH13" s="33" t="e">
        <f ca="1">IF(OR(AF13&gt;$AD$4,AF13&gt;$AD$3),NA(),SUMIFS(DesTable[Jumlah (Rp)],DesTable[Tipe],"Pengeluaran",DesTable[Tanggal],"&lt;="&amp;AG13))</f>
        <v>#N/A</v>
      </c>
      <c r="AI13" s="33">
        <f>IF(AF13&gt;$AD$4,NA(),Rekap!$B$19/$AD$4*AF13)</f>
        <v>91838.709677419349</v>
      </c>
      <c r="AJ13" s="33" t="str">
        <f>Master!$A$17</f>
        <v>Kategori Uji 13</v>
      </c>
      <c r="AK13" s="33">
        <f>SUMIFS(DesTable[Jumlah (Rp)],DesTable[Tipe],"Pengeluaran",DesTable[Kategori],AJ13)</f>
        <v>0</v>
      </c>
      <c r="AL13" s="33">
        <f>SUMIFS(NovTable[Jumlah (Rp)],NovTable[Tipe],"Pengeluaran",NovTable[Kategori],AJ13)</f>
        <v>0</v>
      </c>
      <c r="AM13" s="33">
        <f t="shared" si="0"/>
        <v>1.2999999999999999E-5</v>
      </c>
      <c r="AN13" s="33"/>
      <c r="AO13" s="33"/>
    </row>
    <row r="14" spans="1:41" ht="24.75" customHeight="1" x14ac:dyDescent="0.25">
      <c r="A14" s="5"/>
      <c r="B14" s="3"/>
      <c r="C14" s="3"/>
      <c r="D14" s="3"/>
      <c r="E14" s="6"/>
      <c r="F14" s="49"/>
      <c r="H14" s="9" t="s">
        <v>25</v>
      </c>
      <c r="I14" t="s">
        <v>76</v>
      </c>
      <c r="K14" s="56" t="s">
        <v>61</v>
      </c>
      <c r="L14" s="53"/>
      <c r="M14" s="34" t="s">
        <v>70</v>
      </c>
      <c r="N14" s="33"/>
      <c r="O14" s="33"/>
      <c r="P14" s="33"/>
      <c r="Q14" s="33"/>
      <c r="R14" s="35" t="s">
        <v>96</v>
      </c>
      <c r="S14" s="47">
        <f>COUNTA(NovTable[Tanggal])</f>
        <v>0</v>
      </c>
      <c r="T14" s="47">
        <f>COUNTA(DesTable[Tanggal])</f>
        <v>1</v>
      </c>
      <c r="U14" s="47">
        <f>T14-S14</f>
        <v>1</v>
      </c>
      <c r="V14" s="48" t="str">
        <f>IFERROR(U14/S14,"")</f>
        <v/>
      </c>
      <c r="AD14" s="33"/>
      <c r="AE14" s="33"/>
      <c r="AF14" s="33">
        <v>13</v>
      </c>
      <c r="AG14" s="33">
        <f t="shared" si="1"/>
        <v>46369</v>
      </c>
      <c r="AH14" s="33" t="e">
        <f ca="1">IF(OR(AF14&gt;$AD$4,AF14&gt;$AD$3),NA(),SUMIFS(DesTable[Jumlah (Rp)],DesTable[Tipe],"Pengeluaran",DesTable[Tanggal],"&lt;="&amp;AG14))</f>
        <v>#N/A</v>
      </c>
      <c r="AI14" s="33">
        <f>IF(AF14&gt;$AD$4,NA(),Rekap!$B$19/$AD$4*AF14)</f>
        <v>99491.93548387097</v>
      </c>
      <c r="AJ14" s="33" t="str">
        <f>Master!$A$18</f>
        <v>Kategori Uji 14</v>
      </c>
      <c r="AK14" s="33">
        <f>SUMIFS(DesTable[Jumlah (Rp)],DesTable[Tipe],"Pengeluaran",DesTable[Kategori],AJ14)</f>
        <v>0</v>
      </c>
      <c r="AL14" s="33">
        <f>SUMIFS(NovTable[Jumlah (Rp)],NovTable[Tipe],"Pengeluaran",NovTable[Kategori],AJ14)</f>
        <v>0</v>
      </c>
      <c r="AM14" s="33">
        <f t="shared" si="0"/>
        <v>1.4E-5</v>
      </c>
      <c r="AN14" s="33"/>
      <c r="AO14" s="33"/>
    </row>
    <row r="15" spans="1:41" ht="24.75" customHeight="1" x14ac:dyDescent="0.25">
      <c r="A15" s="5"/>
      <c r="B15" s="3"/>
      <c r="C15" s="3"/>
      <c r="D15" s="3"/>
      <c r="E15" s="6"/>
      <c r="F15" s="49"/>
      <c r="H15" s="10" t="s">
        <v>124</v>
      </c>
      <c r="I15" s="7">
        <v>99000</v>
      </c>
      <c r="K15" s="54" t="s">
        <v>77</v>
      </c>
      <c r="L15" s="53"/>
      <c r="M15" s="37">
        <f>D2</f>
        <v>0</v>
      </c>
      <c r="N15" s="33"/>
      <c r="O15" s="33"/>
      <c r="P15" s="33"/>
      <c r="Q15" s="33"/>
      <c r="R15" s="35" t="s">
        <v>97</v>
      </c>
      <c r="S15" s="37">
        <f>IFERROR(S13/S14,0)</f>
        <v>0</v>
      </c>
      <c r="T15" s="37">
        <f>IFERROR(T13/T14,0)</f>
        <v>99000</v>
      </c>
      <c r="U15" s="37">
        <f>T15-S15</f>
        <v>99000</v>
      </c>
      <c r="V15" s="48" t="str">
        <f>IFERROR(U15/S15,"")</f>
        <v/>
      </c>
      <c r="AD15" s="33"/>
      <c r="AE15" s="33"/>
      <c r="AF15" s="33">
        <v>14</v>
      </c>
      <c r="AG15" s="33">
        <f t="shared" si="1"/>
        <v>46370</v>
      </c>
      <c r="AH15" s="33" t="e">
        <f ca="1">IF(OR(AF15&gt;$AD$4,AF15&gt;$AD$3),NA(),SUMIFS(DesTable[Jumlah (Rp)],DesTable[Tipe],"Pengeluaran",DesTable[Tanggal],"&lt;="&amp;AG15))</f>
        <v>#N/A</v>
      </c>
      <c r="AI15" s="33">
        <f>IF(AF15&gt;$AD$4,NA(),Rekap!$B$19/$AD$4*AF15)</f>
        <v>107145.16129032258</v>
      </c>
      <c r="AJ15" s="33" t="str">
        <f>Master!$A$19</f>
        <v>Kategori Uji 15</v>
      </c>
      <c r="AK15" s="33">
        <f>SUMIFS(DesTable[Jumlah (Rp)],DesTable[Tipe],"Pengeluaran",DesTable[Kategori],AJ15)</f>
        <v>0</v>
      </c>
      <c r="AL15" s="33">
        <f>SUMIFS(NovTable[Jumlah (Rp)],NovTable[Tipe],"Pengeluaran",NovTable[Kategori],AJ15)</f>
        <v>0</v>
      </c>
      <c r="AM15" s="33">
        <f t="shared" si="0"/>
        <v>1.5E-5</v>
      </c>
      <c r="AN15" s="33"/>
      <c r="AO15" s="33"/>
    </row>
    <row r="16" spans="1:41" ht="24.75" customHeight="1" x14ac:dyDescent="0.25">
      <c r="A16" s="5"/>
      <c r="B16" s="3"/>
      <c r="C16" s="3"/>
      <c r="D16" s="3"/>
      <c r="E16" s="6"/>
      <c r="F16" s="49"/>
      <c r="H16" s="10" t="s">
        <v>92</v>
      </c>
      <c r="I16" s="7">
        <v>99000</v>
      </c>
      <c r="K16" s="54" t="s">
        <v>57</v>
      </c>
      <c r="L16" s="53"/>
      <c r="M16" s="37">
        <f ca="1">O6</f>
        <v>6000000</v>
      </c>
      <c r="N16" s="33"/>
      <c r="O16" s="33"/>
      <c r="P16" s="33"/>
      <c r="Q16" s="33"/>
      <c r="R16" s="33"/>
      <c r="S16" s="33"/>
      <c r="T16" s="33"/>
      <c r="U16" s="33"/>
      <c r="V16" s="33"/>
      <c r="AD16" s="33"/>
      <c r="AE16" s="33"/>
      <c r="AF16" s="33">
        <v>15</v>
      </c>
      <c r="AG16" s="33">
        <f t="shared" si="1"/>
        <v>46371</v>
      </c>
      <c r="AH16" s="33" t="e">
        <f ca="1">IF(OR(AF16&gt;$AD$4,AF16&gt;$AD$3),NA(),SUMIFS(DesTable[Jumlah (Rp)],DesTable[Tipe],"Pengeluaran",DesTable[Tanggal],"&lt;="&amp;AG16))</f>
        <v>#N/A</v>
      </c>
      <c r="AI16" s="33">
        <f>IF(AF16&gt;$AD$4,NA(),Rekap!$B$19/$AD$4*AF16)</f>
        <v>114798.3870967742</v>
      </c>
      <c r="AJ16" s="33" t="str">
        <f>Master!$A$20</f>
        <v>Kategori Uji 16</v>
      </c>
      <c r="AK16" s="33">
        <f>SUMIFS(DesTable[Jumlah (Rp)],DesTable[Tipe],"Pengeluaran",DesTable[Kategori],AJ16)</f>
        <v>0</v>
      </c>
      <c r="AL16" s="33">
        <f>SUMIFS(NovTable[Jumlah (Rp)],NovTable[Tipe],"Pengeluaran",NovTable[Kategori],AJ16)</f>
        <v>0</v>
      </c>
      <c r="AM16" s="33">
        <f t="shared" si="0"/>
        <v>1.5999999999999999E-5</v>
      </c>
      <c r="AN16" s="33"/>
      <c r="AO16" s="33"/>
    </row>
    <row r="17" spans="1:41" ht="24.75" customHeight="1" x14ac:dyDescent="0.25">
      <c r="A17" s="5"/>
      <c r="B17" s="3"/>
      <c r="C17" s="3"/>
      <c r="D17" s="3"/>
      <c r="E17" s="6"/>
      <c r="F17" s="49"/>
      <c r="H17" s="10"/>
      <c r="I17" s="7"/>
      <c r="K17" s="54" t="s">
        <v>78</v>
      </c>
      <c r="L17" s="53"/>
      <c r="M17" s="37">
        <f ca="1">M15+M16</f>
        <v>6000000</v>
      </c>
      <c r="N17" s="33"/>
      <c r="O17" s="33"/>
      <c r="P17" s="33"/>
      <c r="Q17" s="33"/>
      <c r="R17" s="43" t="s">
        <v>98</v>
      </c>
      <c r="S17" s="33"/>
      <c r="T17" s="33"/>
      <c r="U17" s="33"/>
      <c r="V17" s="33"/>
      <c r="AD17" s="33"/>
      <c r="AE17" s="33"/>
      <c r="AF17" s="33">
        <v>16</v>
      </c>
      <c r="AG17" s="33">
        <f t="shared" si="1"/>
        <v>46372</v>
      </c>
      <c r="AH17" s="33" t="e">
        <f ca="1">IF(OR(AF17&gt;$AD$4,AF17&gt;$AD$3),NA(),SUMIFS(DesTable[Jumlah (Rp)],DesTable[Tipe],"Pengeluaran",DesTable[Tanggal],"&lt;="&amp;AG17))</f>
        <v>#N/A</v>
      </c>
      <c r="AI17" s="33">
        <f>IF(AF17&gt;$AD$4,NA(),Rekap!$B$19/$AD$4*AF17)</f>
        <v>122451.6129032258</v>
      </c>
      <c r="AJ17" s="33" t="str">
        <f>Master!$A$21</f>
        <v>Kategori Uji 17</v>
      </c>
      <c r="AK17" s="33">
        <f>SUMIFS(DesTable[Jumlah (Rp)],DesTable[Tipe],"Pengeluaran",DesTable[Kategori],AJ17)</f>
        <v>0</v>
      </c>
      <c r="AL17" s="33">
        <f>SUMIFS(NovTable[Jumlah (Rp)],NovTable[Tipe],"Pengeluaran",NovTable[Kategori],AJ17)</f>
        <v>0</v>
      </c>
      <c r="AM17" s="33">
        <f t="shared" si="0"/>
        <v>1.7E-5</v>
      </c>
      <c r="AN17" s="33"/>
      <c r="AO17" s="33"/>
    </row>
    <row r="18" spans="1:41" ht="24.75" customHeight="1" x14ac:dyDescent="0.25">
      <c r="A18" s="5"/>
      <c r="B18" s="3"/>
      <c r="C18" s="3"/>
      <c r="D18" s="3"/>
      <c r="E18" s="6"/>
      <c r="F18" s="49"/>
      <c r="H18" s="10"/>
      <c r="I18" s="7"/>
      <c r="K18" s="54" t="s">
        <v>79</v>
      </c>
      <c r="L18" s="53"/>
      <c r="M18" s="37">
        <f ca="1">M29</f>
        <v>0</v>
      </c>
      <c r="N18" s="33"/>
      <c r="O18" s="33"/>
      <c r="P18" s="33"/>
      <c r="Q18" s="33"/>
      <c r="R18" s="34" t="s">
        <v>25</v>
      </c>
      <c r="S18" s="34" t="s">
        <v>35</v>
      </c>
      <c r="T18" s="34" t="s">
        <v>36</v>
      </c>
      <c r="U18" s="34" t="s">
        <v>5</v>
      </c>
      <c r="V18" s="34" t="s">
        <v>95</v>
      </c>
      <c r="AD18" s="33"/>
      <c r="AE18" s="33"/>
      <c r="AF18" s="33">
        <v>17</v>
      </c>
      <c r="AG18" s="33">
        <f t="shared" si="1"/>
        <v>46373</v>
      </c>
      <c r="AH18" s="33" t="e">
        <f ca="1">IF(OR(AF18&gt;$AD$4,AF18&gt;$AD$3),NA(),SUMIFS(DesTable[Jumlah (Rp)],DesTable[Tipe],"Pengeluaran",DesTable[Tanggal],"&lt;="&amp;AG18))</f>
        <v>#N/A</v>
      </c>
      <c r="AI18" s="33">
        <f>IF(AF18&gt;$AD$4,NA(),Rekap!$B$19/$AD$4*AF18)</f>
        <v>130104.83870967741</v>
      </c>
      <c r="AJ18" s="33" t="str">
        <f>Master!$A$22</f>
        <v>Kategori Uji 18</v>
      </c>
      <c r="AK18" s="33">
        <f>SUMIFS(DesTable[Jumlah (Rp)],DesTable[Tipe],"Pengeluaran",DesTable[Kategori],AJ18)</f>
        <v>0</v>
      </c>
      <c r="AL18" s="33">
        <f>SUMIFS(NovTable[Jumlah (Rp)],NovTable[Tipe],"Pengeluaran",NovTable[Kategori],AJ18)</f>
        <v>0</v>
      </c>
      <c r="AM18" s="33">
        <f t="shared" si="0"/>
        <v>1.8E-5</v>
      </c>
      <c r="AN18" s="33"/>
      <c r="AO18" s="33"/>
    </row>
    <row r="19" spans="1:41" ht="24.75" customHeight="1" x14ac:dyDescent="0.25">
      <c r="A19" s="5"/>
      <c r="B19" s="3"/>
      <c r="C19" s="3"/>
      <c r="D19" s="3"/>
      <c r="E19" s="6"/>
      <c r="F19" s="49"/>
      <c r="H19" s="10"/>
      <c r="I19" s="7"/>
      <c r="K19" s="52" t="s">
        <v>80</v>
      </c>
      <c r="L19" s="53"/>
      <c r="M19" s="42">
        <f ca="1">M17-M18</f>
        <v>6000000</v>
      </c>
      <c r="N19" s="33"/>
      <c r="O19" s="33"/>
      <c r="P19" s="33"/>
      <c r="Q19" s="33"/>
      <c r="R19" s="35" t="str">
        <f>IF($AO$1=0,"",INDEX($AJ$1:$AJ$23,$AO$1))</f>
        <v>Kategori Uji 05</v>
      </c>
      <c r="S19" s="37">
        <f>IF($AO$1=0,"",INDEX($AL$1:$AL$23,$AO$1))</f>
        <v>0</v>
      </c>
      <c r="T19" s="37">
        <f>IF($AO$1=0,"",INDEX($AK$1:$AK$23,$AO$1))</f>
        <v>99000</v>
      </c>
      <c r="U19" s="37">
        <f>IF($R19="","",T19-S19)</f>
        <v>99000</v>
      </c>
      <c r="V19" s="48" t="str">
        <f>IFERROR(U19/S19,"")</f>
        <v/>
      </c>
      <c r="AD19" s="33"/>
      <c r="AE19" s="33"/>
      <c r="AF19" s="33">
        <v>18</v>
      </c>
      <c r="AG19" s="33">
        <f t="shared" si="1"/>
        <v>46374</v>
      </c>
      <c r="AH19" s="33" t="e">
        <f ca="1">IF(OR(AF19&gt;$AD$4,AF19&gt;$AD$3),NA(),SUMIFS(DesTable[Jumlah (Rp)],DesTable[Tipe],"Pengeluaran",DesTable[Tanggal],"&lt;="&amp;AG19))</f>
        <v>#N/A</v>
      </c>
      <c r="AI19" s="33">
        <f>IF(AF19&gt;$AD$4,NA(),Rekap!$B$19/$AD$4*AF19)</f>
        <v>137758.06451612903</v>
      </c>
      <c r="AJ19" s="33" t="str">
        <f>Master!$A$23</f>
        <v>Kategori Uji 19</v>
      </c>
      <c r="AK19" s="33">
        <f>SUMIFS(DesTable[Jumlah (Rp)],DesTable[Tipe],"Pengeluaran",DesTable[Kategori],AJ19)</f>
        <v>0</v>
      </c>
      <c r="AL19" s="33">
        <f>SUMIFS(NovTable[Jumlah (Rp)],NovTable[Tipe],"Pengeluaran",NovTable[Kategori],AJ19)</f>
        <v>0</v>
      </c>
      <c r="AM19" s="33">
        <f t="shared" si="0"/>
        <v>1.9000000000000001E-5</v>
      </c>
      <c r="AN19" s="33"/>
      <c r="AO19" s="33"/>
    </row>
    <row r="20" spans="1:41" ht="24.75" customHeight="1" x14ac:dyDescent="0.25">
      <c r="A20" s="5"/>
      <c r="B20" s="3"/>
      <c r="C20" s="3"/>
      <c r="D20" s="3"/>
      <c r="E20" s="6"/>
      <c r="F20" s="49"/>
      <c r="H20" s="10"/>
      <c r="I20" s="7"/>
      <c r="K20" s="52" t="s">
        <v>81</v>
      </c>
      <c r="L20" s="53"/>
      <c r="M20" s="42">
        <f ca="1">D1+M17-M18</f>
        <v>8000000</v>
      </c>
      <c r="N20" s="33"/>
      <c r="O20" s="33"/>
      <c r="P20" s="33"/>
      <c r="Q20" s="33"/>
      <c r="R20" s="35" t="str">
        <f>IF($AO$2=0,"",INDEX($AJ$1:$AJ$23,$AO$2))</f>
        <v>Kategori Uji 24</v>
      </c>
      <c r="S20" s="37">
        <f>IF($AO$2=0,"",INDEX($AL$1:$AL$23,$AO$2))</f>
        <v>0</v>
      </c>
      <c r="T20" s="37">
        <f>IF($AO$2=0,"",INDEX($AK$1:$AK$23,$AO$2))</f>
        <v>0</v>
      </c>
      <c r="U20" s="37">
        <f>IF($R20="","",T20-S20)</f>
        <v>0</v>
      </c>
      <c r="V20" s="48" t="str">
        <f>IFERROR(U20/S20,"")</f>
        <v/>
      </c>
      <c r="AD20" s="33"/>
      <c r="AE20" s="33"/>
      <c r="AF20" s="33">
        <v>19</v>
      </c>
      <c r="AG20" s="33">
        <f t="shared" si="1"/>
        <v>46375</v>
      </c>
      <c r="AH20" s="33" t="e">
        <f ca="1">IF(OR(AF20&gt;$AD$4,AF20&gt;$AD$3),NA(),SUMIFS(DesTable[Jumlah (Rp)],DesTable[Tipe],"Pengeluaran",DesTable[Tanggal],"&lt;="&amp;AG20))</f>
        <v>#N/A</v>
      </c>
      <c r="AI20" s="33">
        <f>IF(AF20&gt;$AD$4,NA(),Rekap!$B$19/$AD$4*AF20)</f>
        <v>145411.29032258064</v>
      </c>
      <c r="AJ20" s="33" t="str">
        <f>Master!$A$24</f>
        <v>Kategori Uji 20</v>
      </c>
      <c r="AK20" s="33">
        <f>SUMIFS(DesTable[Jumlah (Rp)],DesTable[Tipe],"Pengeluaran",DesTable[Kategori],AJ20)</f>
        <v>0</v>
      </c>
      <c r="AL20" s="33">
        <f>SUMIFS(NovTable[Jumlah (Rp)],NovTable[Tipe],"Pengeluaran",NovTable[Kategori],AJ20)</f>
        <v>0</v>
      </c>
      <c r="AM20" s="33">
        <f t="shared" si="0"/>
        <v>2.0000000000000002E-5</v>
      </c>
      <c r="AN20" s="33"/>
      <c r="AO20" s="33"/>
    </row>
    <row r="21" spans="1:41" ht="24.75" customHeight="1" x14ac:dyDescent="0.25">
      <c r="A21" s="5"/>
      <c r="B21" s="3"/>
      <c r="C21" s="3"/>
      <c r="D21" s="3"/>
      <c r="E21" s="6"/>
      <c r="F21" s="49"/>
      <c r="H21" s="10"/>
      <c r="I21" s="7"/>
      <c r="K21" s="46" t="s">
        <v>82</v>
      </c>
      <c r="L21" s="33"/>
      <c r="M21" s="33"/>
      <c r="N21" s="33"/>
      <c r="O21" s="33"/>
      <c r="P21" s="33"/>
      <c r="Q21" s="33"/>
      <c r="R21" s="35" t="str">
        <f>IF($AO$3=0,"",INDEX($AJ$1:$AJ$23,$AO$3))</f>
        <v>Kategori Uji 23</v>
      </c>
      <c r="S21" s="37">
        <f>IF($AO$3=0,"",INDEX($AL$1:$AL$23,$AO$3))</f>
        <v>0</v>
      </c>
      <c r="T21" s="37">
        <f>IF($AO$3=0,"",INDEX($AK$1:$AK$23,$AO$3))</f>
        <v>0</v>
      </c>
      <c r="U21" s="37">
        <f>IF($R21="","",T21-S21)</f>
        <v>0</v>
      </c>
      <c r="V21" s="48" t="str">
        <f>IFERROR(U21/S21,"")</f>
        <v/>
      </c>
      <c r="AD21" s="33"/>
      <c r="AE21" s="33"/>
      <c r="AF21" s="33">
        <v>20</v>
      </c>
      <c r="AG21" s="33">
        <f t="shared" si="1"/>
        <v>46376</v>
      </c>
      <c r="AH21" s="33" t="e">
        <f ca="1">IF(OR(AF21&gt;$AD$4,AF21&gt;$AD$3),NA(),SUMIFS(DesTable[Jumlah (Rp)],DesTable[Tipe],"Pengeluaran",DesTable[Tanggal],"&lt;="&amp;AG21))</f>
        <v>#N/A</v>
      </c>
      <c r="AI21" s="33">
        <f>IF(AF21&gt;$AD$4,NA(),Rekap!$B$19/$AD$4*AF21)</f>
        <v>153064.51612903224</v>
      </c>
      <c r="AJ21" s="33" t="str">
        <f>Master!$A$25</f>
        <v>Kategori Uji 21</v>
      </c>
      <c r="AK21" s="33">
        <f>SUMIFS(DesTable[Jumlah (Rp)],DesTable[Tipe],"Pengeluaran",DesTable[Kategori],AJ21)</f>
        <v>0</v>
      </c>
      <c r="AL21" s="33">
        <f>SUMIFS(NovTable[Jumlah (Rp)],NovTable[Tipe],"Pengeluaran",NovTable[Kategori],AJ21)</f>
        <v>0</v>
      </c>
      <c r="AM21" s="33">
        <f t="shared" si="0"/>
        <v>2.0999999999999999E-5</v>
      </c>
      <c r="AN21" s="33"/>
      <c r="AO21" s="33"/>
    </row>
    <row r="22" spans="1:41" ht="24.75" customHeight="1" x14ac:dyDescent="0.25">
      <c r="A22" s="5"/>
      <c r="B22" s="3"/>
      <c r="C22" s="3"/>
      <c r="D22" s="3"/>
      <c r="E22" s="6"/>
      <c r="F22" s="49"/>
      <c r="H22" s="10"/>
      <c r="I22" s="7"/>
      <c r="K22" s="33"/>
      <c r="L22" s="33"/>
      <c r="M22" s="33"/>
      <c r="N22" s="33"/>
      <c r="O22" s="33"/>
      <c r="P22" s="33"/>
      <c r="Q22" s="33"/>
      <c r="R22" s="35" t="str">
        <f>IF($AO$4=0,"",INDEX($AJ$1:$AJ$23,$AO$4))</f>
        <v>Kategori Uji 21</v>
      </c>
      <c r="S22" s="37">
        <f>IF($AO$4=0,"",INDEX($AL$1:$AL$23,$AO$4))</f>
        <v>0</v>
      </c>
      <c r="T22" s="37">
        <f>IF($AO$4=0,"",INDEX($AK$1:$AK$23,$AO$4))</f>
        <v>0</v>
      </c>
      <c r="U22" s="37">
        <f>IF($R22="","",T22-S22)</f>
        <v>0</v>
      </c>
      <c r="V22" s="48" t="str">
        <f>IFERROR(U22/S22,"")</f>
        <v/>
      </c>
      <c r="AD22" s="33"/>
      <c r="AE22" s="33"/>
      <c r="AF22" s="33">
        <v>21</v>
      </c>
      <c r="AG22" s="33">
        <f t="shared" si="1"/>
        <v>46377</v>
      </c>
      <c r="AH22" s="33" t="e">
        <f ca="1">IF(OR(AF22&gt;$AD$4,AF22&gt;$AD$3),NA(),SUMIFS(DesTable[Jumlah (Rp)],DesTable[Tipe],"Pengeluaran",DesTable[Tanggal],"&lt;="&amp;AG22))</f>
        <v>#N/A</v>
      </c>
      <c r="AI22" s="33">
        <f>IF(AF22&gt;$AD$4,NA(),Rekap!$B$19/$AD$4*AF22)</f>
        <v>160717.74193548388</v>
      </c>
      <c r="AJ22" s="33" t="str">
        <f>Master!$A$27</f>
        <v>Kategori Uji 23</v>
      </c>
      <c r="AK22" s="33">
        <f>SUMIFS(DesTable[Jumlah (Rp)],DesTable[Tipe],"Pengeluaran",DesTable[Kategori],AJ22)</f>
        <v>0</v>
      </c>
      <c r="AL22" s="33">
        <f>SUMIFS(NovTable[Jumlah (Rp)],NovTable[Tipe],"Pengeluaran",NovTable[Kategori],AJ22)</f>
        <v>0</v>
      </c>
      <c r="AM22" s="33">
        <f t="shared" si="0"/>
        <v>2.1999999999999999E-5</v>
      </c>
      <c r="AN22" s="33"/>
      <c r="AO22" s="33"/>
    </row>
    <row r="23" spans="1:41" ht="24.75" customHeight="1" x14ac:dyDescent="0.25">
      <c r="A23" s="5"/>
      <c r="B23" s="3"/>
      <c r="C23" s="3"/>
      <c r="D23" s="3"/>
      <c r="E23" s="6"/>
      <c r="F23" s="49"/>
      <c r="H23" s="10"/>
      <c r="I23" s="7"/>
      <c r="K23" s="32" t="s">
        <v>83</v>
      </c>
      <c r="L23" s="33"/>
      <c r="M23" s="33"/>
      <c r="N23" s="33"/>
      <c r="O23" s="33"/>
      <c r="P23" s="33"/>
      <c r="Q23" s="33"/>
      <c r="R23" s="35" t="str">
        <f>IF($AO$5=0,"",INDEX($AJ$1:$AJ$23,$AO$5))</f>
        <v>Kategori Uji 20</v>
      </c>
      <c r="S23" s="37">
        <f>IF($AO$5=0,"",INDEX($AL$1:$AL$23,$AO$5))</f>
        <v>0</v>
      </c>
      <c r="T23" s="37">
        <f>IF($AO$5=0,"",INDEX($AK$1:$AK$23,$AO$5))</f>
        <v>0</v>
      </c>
      <c r="U23" s="37">
        <f>IF($R23="","",T23-S23)</f>
        <v>0</v>
      </c>
      <c r="V23" s="48" t="str">
        <f>IFERROR(U23/S23,"")</f>
        <v/>
      </c>
      <c r="AD23" s="33"/>
      <c r="AE23" s="33"/>
      <c r="AF23" s="33">
        <v>22</v>
      </c>
      <c r="AG23" s="33">
        <f t="shared" si="1"/>
        <v>46378</v>
      </c>
      <c r="AH23" s="33" t="e">
        <f ca="1">IF(OR(AF23&gt;$AD$4,AF23&gt;$AD$3),NA(),SUMIFS(DesTable[Jumlah (Rp)],DesTable[Tipe],"Pengeluaran",DesTable[Tanggal],"&lt;="&amp;AG23))</f>
        <v>#N/A</v>
      </c>
      <c r="AI23" s="33">
        <f>IF(AF23&gt;$AD$4,NA(),Rekap!$B$19/$AD$4*AF23)</f>
        <v>168370.96774193548</v>
      </c>
      <c r="AJ23" s="33" t="str">
        <f>Master!$A$28</f>
        <v>Kategori Uji 24</v>
      </c>
      <c r="AK23" s="33">
        <f>SUMIFS(DesTable[Jumlah (Rp)],DesTable[Tipe],"Pengeluaran",DesTable[Kategori],AJ23)</f>
        <v>0</v>
      </c>
      <c r="AL23" s="33">
        <f>SUMIFS(NovTable[Jumlah (Rp)],NovTable[Tipe],"Pengeluaran",NovTable[Kategori],AJ23)</f>
        <v>0</v>
      </c>
      <c r="AM23" s="33">
        <f t="shared" si="0"/>
        <v>2.3E-5</v>
      </c>
      <c r="AN23" s="33"/>
      <c r="AO23" s="33"/>
    </row>
    <row r="24" spans="1:41" ht="24.75" customHeight="1" x14ac:dyDescent="0.25">
      <c r="A24" s="5"/>
      <c r="B24" s="3"/>
      <c r="C24" s="3"/>
      <c r="D24" s="3"/>
      <c r="E24" s="6"/>
      <c r="F24" s="49"/>
      <c r="H24" s="10"/>
      <c r="I24" s="7"/>
      <c r="K24" s="56" t="s">
        <v>84</v>
      </c>
      <c r="L24" s="53"/>
      <c r="M24" s="34" t="s">
        <v>70</v>
      </c>
      <c r="N24" s="33"/>
      <c r="O24" s="33"/>
      <c r="P24" s="33"/>
      <c r="Q24" s="33"/>
      <c r="R24" s="33"/>
      <c r="S24" s="33"/>
      <c r="T24" s="33"/>
      <c r="U24" s="33"/>
      <c r="V24" s="33"/>
      <c r="AD24" s="33"/>
      <c r="AE24" s="33"/>
      <c r="AF24" s="33">
        <v>23</v>
      </c>
      <c r="AG24" s="33">
        <f t="shared" si="1"/>
        <v>46379</v>
      </c>
      <c r="AH24" s="33" t="e">
        <f ca="1">IF(OR(AF24&gt;$AD$4,AF24&gt;$AD$3),NA(),SUMIFS(DesTable[Jumlah (Rp)],DesTable[Tipe],"Pengeluaran",DesTable[Tanggal],"&lt;="&amp;AG24))</f>
        <v>#N/A</v>
      </c>
      <c r="AI24" s="33">
        <f>IF(AF24&gt;$AD$4,NA(),Rekap!$B$19/$AD$4*AF24)</f>
        <v>176024.19354838709</v>
      </c>
      <c r="AJ24" s="33"/>
      <c r="AK24" s="33"/>
      <c r="AL24" s="33"/>
      <c r="AM24" s="33"/>
      <c r="AN24" s="33"/>
      <c r="AO24" s="33"/>
    </row>
    <row r="25" spans="1:41" ht="24.75" customHeight="1" x14ac:dyDescent="0.25">
      <c r="A25" s="5"/>
      <c r="B25" s="3"/>
      <c r="C25" s="3"/>
      <c r="D25" s="3"/>
      <c r="E25" s="6"/>
      <c r="F25" s="49"/>
      <c r="H25" s="10"/>
      <c r="I25" s="7"/>
      <c r="K25" s="54" t="s">
        <v>85</v>
      </c>
      <c r="L25" s="53"/>
      <c r="M25" s="47">
        <f ca="1">AD3</f>
        <v>0</v>
      </c>
      <c r="N25" s="33"/>
      <c r="O25" s="33"/>
      <c r="P25" s="33"/>
      <c r="Q25" s="33"/>
      <c r="R25" s="32" t="s">
        <v>86</v>
      </c>
      <c r="S25" s="33"/>
      <c r="T25" s="33"/>
      <c r="U25" s="33"/>
      <c r="V25" s="33"/>
      <c r="AD25" s="33"/>
      <c r="AE25" s="33"/>
      <c r="AF25" s="33">
        <v>24</v>
      </c>
      <c r="AG25" s="33">
        <f t="shared" si="1"/>
        <v>46380</v>
      </c>
      <c r="AH25" s="33" t="e">
        <f ca="1">IF(OR(AF25&gt;$AD$4,AF25&gt;$AD$3),NA(),SUMIFS(DesTable[Jumlah (Rp)],DesTable[Tipe],"Pengeluaran",DesTable[Tanggal],"&lt;="&amp;AG25))</f>
        <v>#N/A</v>
      </c>
      <c r="AI25" s="33">
        <f>IF(AF25&gt;$AD$4,NA(),Rekap!$B$19/$AD$4*AF25)</f>
        <v>183677.4193548387</v>
      </c>
      <c r="AJ25" s="33"/>
      <c r="AK25" s="33"/>
      <c r="AL25" s="33"/>
      <c r="AM25" s="33"/>
      <c r="AN25" s="33"/>
      <c r="AO25" s="33"/>
    </row>
    <row r="26" spans="1:41" ht="24.75" customHeight="1" x14ac:dyDescent="0.25">
      <c r="A26" s="5"/>
      <c r="B26" s="3"/>
      <c r="C26" s="3"/>
      <c r="D26" s="3"/>
      <c r="E26" s="6"/>
      <c r="F26" s="49"/>
      <c r="H26" s="10"/>
      <c r="I26" s="7"/>
      <c r="K26" s="54" t="s">
        <v>87</v>
      </c>
      <c r="L26" s="53"/>
      <c r="M26" s="47">
        <f>AD4</f>
        <v>31</v>
      </c>
      <c r="N26" s="33"/>
      <c r="O26" s="33"/>
      <c r="P26" s="33"/>
      <c r="Q26" s="33"/>
      <c r="R26" s="33"/>
      <c r="S26" s="33"/>
      <c r="T26" s="33"/>
      <c r="U26" s="33"/>
      <c r="V26" s="33"/>
      <c r="AD26" s="33"/>
      <c r="AE26" s="33"/>
      <c r="AF26" s="33">
        <v>25</v>
      </c>
      <c r="AG26" s="33">
        <f t="shared" si="1"/>
        <v>46381</v>
      </c>
      <c r="AH26" s="33" t="e">
        <f ca="1">IF(OR(AF26&gt;$AD$4,AF26&gt;$AD$3),NA(),SUMIFS(DesTable[Jumlah (Rp)],DesTable[Tipe],"Pengeluaran",DesTable[Tanggal],"&lt;="&amp;AG26))</f>
        <v>#N/A</v>
      </c>
      <c r="AI26" s="33">
        <f>IF(AF26&gt;$AD$4,NA(),Rekap!$B$19/$AD$4*AF26)</f>
        <v>191330.6451612903</v>
      </c>
      <c r="AJ26" s="33"/>
      <c r="AK26" s="33"/>
      <c r="AL26" s="33"/>
      <c r="AM26" s="33"/>
      <c r="AN26" s="33"/>
      <c r="AO26" s="33"/>
    </row>
    <row r="27" spans="1:41" ht="24.75" customHeight="1" x14ac:dyDescent="0.25">
      <c r="A27" s="5"/>
      <c r="B27" s="3"/>
      <c r="C27" s="3"/>
      <c r="D27" s="3"/>
      <c r="E27" s="6"/>
      <c r="F27" s="49"/>
      <c r="H27" s="10"/>
      <c r="I27" s="7"/>
      <c r="K27" s="54" t="s">
        <v>88</v>
      </c>
      <c r="L27" s="53"/>
      <c r="M27" s="37">
        <f>D3</f>
        <v>99000</v>
      </c>
      <c r="N27" s="33"/>
      <c r="O27" s="33"/>
      <c r="P27" s="33"/>
      <c r="Q27" s="33"/>
      <c r="R27" s="33"/>
      <c r="S27" s="33"/>
      <c r="T27" s="33"/>
      <c r="U27" s="33"/>
      <c r="V27" s="33"/>
      <c r="AD27" s="33"/>
      <c r="AE27" s="33"/>
      <c r="AF27" s="33">
        <v>26</v>
      </c>
      <c r="AG27" s="33">
        <f t="shared" si="1"/>
        <v>46382</v>
      </c>
      <c r="AH27" s="33" t="e">
        <f ca="1">IF(OR(AF27&gt;$AD$4,AF27&gt;$AD$3),NA(),SUMIFS(DesTable[Jumlah (Rp)],DesTable[Tipe],"Pengeluaran",DesTable[Tanggal],"&lt;="&amp;AG27))</f>
        <v>#N/A</v>
      </c>
      <c r="AI27" s="33">
        <f>IF(AF27&gt;$AD$4,NA(),Rekap!$B$19/$AD$4*AF27)</f>
        <v>198983.87096774194</v>
      </c>
      <c r="AJ27" s="33"/>
      <c r="AK27" s="33"/>
      <c r="AL27" s="33"/>
      <c r="AM27" s="33"/>
      <c r="AN27" s="33"/>
      <c r="AO27" s="33"/>
    </row>
    <row r="28" spans="1:41" ht="24.75" customHeight="1" x14ac:dyDescent="0.25">
      <c r="A28" s="5"/>
      <c r="B28" s="3"/>
      <c r="C28" s="3"/>
      <c r="D28" s="3"/>
      <c r="E28" s="6"/>
      <c r="F28" s="49"/>
      <c r="K28" s="54" t="s">
        <v>89</v>
      </c>
      <c r="L28" s="53"/>
      <c r="M28" s="37">
        <f ca="1">IFERROR(M27/M25,0)</f>
        <v>0</v>
      </c>
      <c r="N28" s="33"/>
      <c r="O28" s="33"/>
      <c r="P28" s="33"/>
      <c r="Q28" s="33"/>
      <c r="R28" s="33"/>
      <c r="S28" s="33"/>
      <c r="T28" s="33"/>
      <c r="U28" s="33"/>
      <c r="V28" s="33"/>
      <c r="AD28" s="33"/>
      <c r="AE28" s="33"/>
      <c r="AF28" s="33">
        <v>27</v>
      </c>
      <c r="AG28" s="33">
        <f t="shared" si="1"/>
        <v>46383</v>
      </c>
      <c r="AH28" s="33" t="e">
        <f ca="1">IF(OR(AF28&gt;$AD$4,AF28&gt;$AD$3),NA(),SUMIFS(DesTable[Jumlah (Rp)],DesTable[Tipe],"Pengeluaran",DesTable[Tanggal],"&lt;="&amp;AG28))</f>
        <v>#N/A</v>
      </c>
      <c r="AI28" s="33">
        <f>IF(AF28&gt;$AD$4,NA(),Rekap!$B$19/$AD$4*AF28)</f>
        <v>206637.09677419355</v>
      </c>
      <c r="AJ28" s="33"/>
      <c r="AK28" s="33"/>
      <c r="AL28" s="33"/>
      <c r="AM28" s="33"/>
      <c r="AN28" s="33"/>
      <c r="AO28" s="33"/>
    </row>
    <row r="29" spans="1:41" ht="24.75" customHeight="1" x14ac:dyDescent="0.25">
      <c r="A29" s="5"/>
      <c r="B29" s="3"/>
      <c r="C29" s="3"/>
      <c r="D29" s="3"/>
      <c r="E29" s="6"/>
      <c r="F29" s="49"/>
      <c r="K29" s="52" t="s">
        <v>90</v>
      </c>
      <c r="L29" s="53"/>
      <c r="M29" s="42">
        <f ca="1">M28*M26</f>
        <v>0</v>
      </c>
      <c r="N29" s="33"/>
      <c r="O29" s="33"/>
      <c r="P29" s="33"/>
      <c r="Q29" s="33"/>
      <c r="R29" s="33"/>
      <c r="S29" s="33"/>
      <c r="T29" s="33"/>
      <c r="U29" s="33"/>
      <c r="V29" s="33"/>
      <c r="AD29" s="33"/>
      <c r="AE29" s="33"/>
      <c r="AF29" s="33">
        <v>28</v>
      </c>
      <c r="AG29" s="33">
        <f t="shared" si="1"/>
        <v>46384</v>
      </c>
      <c r="AH29" s="33" t="e">
        <f ca="1">IF(OR(AF29&gt;$AD$4,AF29&gt;$AD$3),NA(),SUMIFS(DesTable[Jumlah (Rp)],DesTable[Tipe],"Pengeluaran",DesTable[Tanggal],"&lt;="&amp;AG29))</f>
        <v>#N/A</v>
      </c>
      <c r="AI29" s="33">
        <f>IF(AF29&gt;$AD$4,NA(),Rekap!$B$19/$AD$4*AF29)</f>
        <v>214290.32258064515</v>
      </c>
      <c r="AJ29" s="33"/>
      <c r="AK29" s="33"/>
      <c r="AL29" s="33"/>
      <c r="AM29" s="33"/>
      <c r="AN29" s="33"/>
      <c r="AO29" s="33"/>
    </row>
    <row r="30" spans="1:41" ht="24.75" customHeight="1" x14ac:dyDescent="0.25">
      <c r="A30" s="5"/>
      <c r="B30" s="3"/>
      <c r="C30" s="3"/>
      <c r="D30" s="3"/>
      <c r="E30" s="6"/>
      <c r="F30" s="49"/>
      <c r="K30" s="54" t="s">
        <v>91</v>
      </c>
      <c r="L30" s="53"/>
      <c r="M30" s="37">
        <f>Rekap!$B$19</f>
        <v>237250</v>
      </c>
      <c r="N30" s="33"/>
      <c r="O30" s="33"/>
      <c r="P30" s="33"/>
      <c r="Q30" s="33"/>
      <c r="R30" s="33"/>
      <c r="S30" s="33"/>
      <c r="T30" s="33"/>
      <c r="U30" s="33"/>
      <c r="V30" s="33"/>
      <c r="AD30" s="33"/>
      <c r="AE30" s="33"/>
      <c r="AF30" s="33">
        <v>29</v>
      </c>
      <c r="AG30" s="33">
        <f t="shared" si="1"/>
        <v>46385</v>
      </c>
      <c r="AH30" s="33" t="e">
        <f ca="1">IF(OR(AF30&gt;$AD$4,AF30&gt;$AD$3),NA(),SUMIFS(DesTable[Jumlah (Rp)],DesTable[Tipe],"Pengeluaran",DesTable[Tanggal],"&lt;="&amp;AG30))</f>
        <v>#N/A</v>
      </c>
      <c r="AI30" s="33">
        <f>IF(AF30&gt;$AD$4,NA(),Rekap!$B$19/$AD$4*AF30)</f>
        <v>221943.54838709676</v>
      </c>
      <c r="AJ30" s="33"/>
      <c r="AK30" s="33"/>
      <c r="AL30" s="33"/>
      <c r="AM30" s="33"/>
      <c r="AN30" s="33"/>
      <c r="AO30" s="33"/>
    </row>
    <row r="31" spans="1:41" ht="24.75" customHeight="1" x14ac:dyDescent="0.25">
      <c r="A31" s="5"/>
      <c r="B31" s="3"/>
      <c r="C31" s="3"/>
      <c r="D31" s="3"/>
      <c r="E31" s="6"/>
      <c r="F31" s="49"/>
      <c r="K31" s="54" t="s">
        <v>93</v>
      </c>
      <c r="L31" s="53"/>
      <c r="M31" s="37">
        <f>SUM(Master!$C$5:$C$81)</f>
        <v>30000000</v>
      </c>
      <c r="N31" s="33"/>
      <c r="O31" s="33"/>
      <c r="P31" s="33"/>
      <c r="Q31" s="33"/>
      <c r="R31" s="33"/>
      <c r="S31" s="33"/>
      <c r="T31" s="33"/>
      <c r="U31" s="33"/>
      <c r="V31" s="33"/>
      <c r="AD31" s="33"/>
      <c r="AE31" s="33"/>
      <c r="AF31" s="33">
        <v>30</v>
      </c>
      <c r="AG31" s="33">
        <f t="shared" si="1"/>
        <v>46386</v>
      </c>
      <c r="AH31" s="33" t="e">
        <f ca="1">IF(OR(AF31&gt;$AD$4,AF31&gt;$AD$3),NA(),SUMIFS(DesTable[Jumlah (Rp)],DesTable[Tipe],"Pengeluaran",DesTable[Tanggal],"&lt;="&amp;AG31))</f>
        <v>#N/A</v>
      </c>
      <c r="AI31" s="33">
        <f>IF(AF31&gt;$AD$4,NA(),Rekap!$B$19/$AD$4*AF31)</f>
        <v>229596.77419354839</v>
      </c>
      <c r="AJ31" s="33"/>
      <c r="AK31" s="33"/>
      <c r="AL31" s="33"/>
      <c r="AM31" s="33"/>
      <c r="AN31" s="33"/>
      <c r="AO31" s="33"/>
    </row>
    <row r="32" spans="1:41" ht="24.75" customHeight="1" x14ac:dyDescent="0.25">
      <c r="A32" s="5"/>
      <c r="B32" s="3"/>
      <c r="C32" s="3"/>
      <c r="D32" s="3"/>
      <c r="E32" s="6"/>
      <c r="F32" s="49"/>
      <c r="K32" s="52" t="s">
        <v>58</v>
      </c>
      <c r="L32" s="53"/>
      <c r="M32" s="40" t="str">
        <f ca="1">IF(M25=0,"belum mulai",IF(M29&gt;M30,"di atas kebiasaan","di bawah kebiasaan"))</f>
        <v>belum mulai</v>
      </c>
      <c r="N32" s="33"/>
      <c r="O32" s="33"/>
      <c r="P32" s="33"/>
      <c r="Q32" s="33"/>
      <c r="R32" s="33"/>
      <c r="S32" s="33"/>
      <c r="T32" s="33"/>
      <c r="U32" s="33"/>
      <c r="V32" s="33"/>
      <c r="AD32" s="33"/>
      <c r="AE32" s="33"/>
      <c r="AF32" s="33">
        <v>31</v>
      </c>
      <c r="AG32" s="33">
        <f t="shared" si="1"/>
        <v>46387</v>
      </c>
      <c r="AH32" s="33" t="e">
        <f ca="1">IF(OR(AF32&gt;$AD$4,AF32&gt;$AD$3),NA(),SUMIFS(DesTable[Jumlah (Rp)],DesTable[Tipe],"Pengeluaran",DesTable[Tanggal],"&lt;="&amp;AG32))</f>
        <v>#N/A</v>
      </c>
      <c r="AI32" s="33">
        <f>IF(AF32&gt;$AD$4,NA(),Rekap!$B$19/$AD$4*AF32)</f>
        <v>237250</v>
      </c>
      <c r="AJ32" s="33"/>
      <c r="AK32" s="33"/>
      <c r="AL32" s="33"/>
      <c r="AM32" s="33"/>
      <c r="AN32" s="33"/>
      <c r="AO32" s="33"/>
    </row>
    <row r="33" spans="1:41" ht="24.75" customHeight="1" x14ac:dyDescent="0.25">
      <c r="A33" s="5"/>
      <c r="B33" s="3"/>
      <c r="C33" s="3"/>
      <c r="D33" s="3"/>
      <c r="E33" s="6"/>
      <c r="F33" s="49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</row>
    <row r="34" spans="1:41" ht="24.75" customHeight="1" x14ac:dyDescent="0.25">
      <c r="A34" s="5"/>
      <c r="B34" s="3"/>
      <c r="C34" s="3"/>
      <c r="D34" s="3"/>
      <c r="E34" s="6"/>
      <c r="F34" s="49"/>
      <c r="K34" s="32" t="s">
        <v>94</v>
      </c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</row>
    <row r="35" spans="1:41" ht="24.75" customHeight="1" x14ac:dyDescent="0.25">
      <c r="A35" s="5"/>
      <c r="B35" s="3"/>
      <c r="C35" s="3"/>
      <c r="D35" s="3"/>
      <c r="E35" s="6"/>
      <c r="F35" s="49"/>
      <c r="K35" s="34" t="s">
        <v>43</v>
      </c>
      <c r="L35" s="34" t="s">
        <v>37</v>
      </c>
      <c r="M35" s="34" t="s">
        <v>44</v>
      </c>
      <c r="N35" s="33"/>
      <c r="O35" s="33"/>
      <c r="P35" s="33"/>
      <c r="Q35" s="33"/>
      <c r="R35" s="33"/>
      <c r="S35" s="33"/>
      <c r="T35" s="33"/>
      <c r="U35" s="33"/>
      <c r="V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</row>
    <row r="36" spans="1:41" ht="24.75" customHeight="1" x14ac:dyDescent="0.25">
      <c r="A36" s="5"/>
      <c r="B36" s="3"/>
      <c r="C36" s="3"/>
      <c r="D36" s="3"/>
      <c r="E36" s="6"/>
      <c r="F36" s="49"/>
      <c r="K36" s="35" t="str">
        <f>Master!$G$5</f>
        <v>Tunai Uji</v>
      </c>
      <c r="L36" s="37">
        <f>SUMIFS(DesTable[Jumlah (Rp)],DesTable[Tipe],"Pengeluaran",DesTable[Pembayaran],K36)</f>
        <v>0</v>
      </c>
      <c r="M36" s="48">
        <f t="shared" ref="M36:M44" si="2">IFERROR(L36/$D$3,0)</f>
        <v>0</v>
      </c>
      <c r="N36" s="33"/>
      <c r="O36" s="33"/>
      <c r="P36" s="33"/>
      <c r="Q36" s="33"/>
      <c r="R36" s="33"/>
      <c r="S36" s="33"/>
      <c r="T36" s="33"/>
      <c r="U36" s="33"/>
      <c r="V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</row>
    <row r="37" spans="1:41" ht="24.75" customHeight="1" x14ac:dyDescent="0.25">
      <c r="A37" s="5"/>
      <c r="B37" s="3"/>
      <c r="C37" s="3"/>
      <c r="D37" s="3"/>
      <c r="E37" s="6"/>
      <c r="F37" s="49"/>
      <c r="K37" s="35" t="str">
        <f>Master!$G$6</f>
        <v>Bank Uji</v>
      </c>
      <c r="L37" s="37">
        <f>SUMIFS(DesTable[Jumlah (Rp)],DesTable[Tipe],"Pengeluaran",DesTable[Pembayaran],K37)</f>
        <v>0</v>
      </c>
      <c r="M37" s="48">
        <f t="shared" si="2"/>
        <v>0</v>
      </c>
      <c r="N37" s="33"/>
      <c r="O37" s="33"/>
      <c r="P37" s="33"/>
      <c r="Q37" s="33"/>
      <c r="R37" s="33"/>
      <c r="S37" s="33"/>
      <c r="T37" s="33"/>
      <c r="U37" s="33"/>
      <c r="V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</row>
    <row r="38" spans="1:41" ht="24.75" customHeight="1" x14ac:dyDescent="0.25">
      <c r="A38" s="5"/>
      <c r="B38" s="3"/>
      <c r="C38" s="3"/>
      <c r="D38" s="3"/>
      <c r="E38" s="6"/>
      <c r="F38" s="49"/>
      <c r="K38" s="35" t="str">
        <f>Master!$G$7</f>
        <v>Dompet Uji</v>
      </c>
      <c r="L38" s="37">
        <f>SUMIFS(DesTable[Jumlah (Rp)],DesTable[Tipe],"Pengeluaran",DesTable[Pembayaran],K38)</f>
        <v>99000</v>
      </c>
      <c r="M38" s="48">
        <f t="shared" si="2"/>
        <v>1</v>
      </c>
      <c r="N38" s="33"/>
      <c r="O38" s="33"/>
      <c r="P38" s="33"/>
      <c r="Q38" s="33"/>
      <c r="R38" s="33"/>
      <c r="S38" s="33"/>
      <c r="T38" s="33"/>
      <c r="U38" s="33"/>
      <c r="V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</row>
    <row r="39" spans="1:41" ht="24.75" customHeight="1" x14ac:dyDescent="0.25">
      <c r="A39" s="5"/>
      <c r="B39" s="3"/>
      <c r="C39" s="3"/>
      <c r="D39" s="3"/>
      <c r="E39" s="6"/>
      <c r="F39" s="49"/>
      <c r="K39" s="35" t="str">
        <f>Master!$G$8</f>
        <v>Kartu Uji</v>
      </c>
      <c r="L39" s="37">
        <f>SUMIFS(DesTable[Jumlah (Rp)],DesTable[Tipe],"Pengeluaran",DesTable[Pembayaran],K39)</f>
        <v>0</v>
      </c>
      <c r="M39" s="48">
        <f t="shared" si="2"/>
        <v>0</v>
      </c>
      <c r="N39" s="33"/>
      <c r="O39" s="33"/>
      <c r="P39" s="33"/>
      <c r="Q39" s="33"/>
      <c r="R39" s="33"/>
      <c r="S39" s="33"/>
      <c r="T39" s="33"/>
      <c r="U39" s="33"/>
      <c r="V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</row>
    <row r="40" spans="1:41" ht="24.75" customHeight="1" x14ac:dyDescent="0.25">
      <c r="A40" s="5"/>
      <c r="B40" s="3"/>
      <c r="C40" s="3"/>
      <c r="D40" s="3"/>
      <c r="E40" s="6"/>
      <c r="F40" s="49"/>
      <c r="K40" s="35" t="str">
        <f>Master!$G$9</f>
        <v>Transfer Uji</v>
      </c>
      <c r="L40" s="37">
        <f>SUMIFS(DesTable[Jumlah (Rp)],DesTable[Tipe],"Pengeluaran",DesTable[Pembayaran],K40)</f>
        <v>0</v>
      </c>
      <c r="M40" s="48">
        <f t="shared" si="2"/>
        <v>0</v>
      </c>
      <c r="N40" s="33"/>
      <c r="O40" s="33"/>
      <c r="P40" s="33"/>
      <c r="Q40" s="33"/>
      <c r="R40" s="33"/>
      <c r="S40" s="33"/>
      <c r="T40" s="33"/>
      <c r="U40" s="33"/>
      <c r="V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</row>
    <row r="41" spans="1:41" ht="24.75" customHeight="1" x14ac:dyDescent="0.25">
      <c r="A41" s="5"/>
      <c r="B41" s="3"/>
      <c r="C41" s="3"/>
      <c r="D41" s="3"/>
      <c r="E41" s="6"/>
      <c r="F41" s="49"/>
      <c r="K41" s="35" t="str">
        <f>Master!$G$10</f>
        <v>Voucher Uji</v>
      </c>
      <c r="L41" s="37">
        <f>SUMIFS(DesTable[Jumlah (Rp)],DesTable[Tipe],"Pengeluaran",DesTable[Pembayaran],K41)</f>
        <v>0</v>
      </c>
      <c r="M41" s="48">
        <f t="shared" si="2"/>
        <v>0</v>
      </c>
      <c r="N41" s="33"/>
      <c r="O41" s="33"/>
      <c r="P41" s="33"/>
      <c r="Q41" s="33"/>
      <c r="R41" s="33"/>
      <c r="S41" s="33"/>
      <c r="T41" s="33"/>
      <c r="U41" s="33"/>
      <c r="V41" s="33"/>
    </row>
    <row r="42" spans="1:41" ht="24.75" customHeight="1" x14ac:dyDescent="0.25">
      <c r="A42" s="5"/>
      <c r="B42" s="3"/>
      <c r="C42" s="3"/>
      <c r="D42" s="3"/>
      <c r="E42" s="6"/>
      <c r="F42" s="49"/>
      <c r="K42" s="35" t="str">
        <f>Master!$G$11</f>
        <v>Cicilan Uji</v>
      </c>
      <c r="L42" s="37">
        <f>SUMIFS(DesTable[Jumlah (Rp)],DesTable[Tipe],"Pengeluaran",DesTable[Pembayaran],K42)</f>
        <v>0</v>
      </c>
      <c r="M42" s="48">
        <f t="shared" si="2"/>
        <v>0</v>
      </c>
      <c r="N42" s="33"/>
      <c r="O42" s="33"/>
      <c r="P42" s="33"/>
      <c r="Q42" s="33"/>
      <c r="R42" s="33"/>
      <c r="S42" s="33"/>
      <c r="T42" s="33"/>
      <c r="U42" s="33"/>
      <c r="V42" s="33"/>
    </row>
    <row r="43" spans="1:41" ht="24.75" customHeight="1" x14ac:dyDescent="0.25">
      <c r="A43" s="5"/>
      <c r="B43" s="3"/>
      <c r="C43" s="3"/>
      <c r="D43" s="3"/>
      <c r="E43" s="6"/>
      <c r="F43" s="49"/>
      <c r="K43" s="35" t="str">
        <f>Master!$G$12</f>
        <v>Lainnya Uji</v>
      </c>
      <c r="L43" s="37">
        <f>SUMIFS(DesTable[Jumlah (Rp)],DesTable[Tipe],"Pengeluaran",DesTable[Pembayaran],K43)</f>
        <v>0</v>
      </c>
      <c r="M43" s="48">
        <f t="shared" si="2"/>
        <v>0</v>
      </c>
      <c r="N43" s="33"/>
      <c r="O43" s="33"/>
      <c r="P43" s="33"/>
      <c r="Q43" s="33"/>
      <c r="R43" s="33"/>
      <c r="S43" s="33"/>
      <c r="T43" s="33"/>
      <c r="U43" s="33"/>
      <c r="V43" s="33"/>
    </row>
    <row r="44" spans="1:41" ht="24.75" customHeight="1" x14ac:dyDescent="0.25">
      <c r="A44" s="5"/>
      <c r="B44" s="3"/>
      <c r="C44" s="3"/>
      <c r="D44" s="3"/>
      <c r="E44" s="6"/>
      <c r="F44" s="49"/>
      <c r="K44" s="40" t="s">
        <v>21</v>
      </c>
      <c r="L44" s="42">
        <f>SUM(L36:L43)</f>
        <v>99000</v>
      </c>
      <c r="M44" s="44">
        <f t="shared" si="2"/>
        <v>1</v>
      </c>
      <c r="N44" s="33"/>
      <c r="O44" s="33"/>
      <c r="P44" s="33"/>
      <c r="Q44" s="33"/>
      <c r="R44" s="33"/>
      <c r="S44" s="33"/>
      <c r="T44" s="33"/>
      <c r="U44" s="33"/>
      <c r="V44" s="33"/>
    </row>
    <row r="45" spans="1:41" ht="24.75" customHeight="1" x14ac:dyDescent="0.25">
      <c r="A45" s="5"/>
      <c r="B45" s="3"/>
      <c r="C45" s="3"/>
      <c r="D45" s="3"/>
      <c r="E45" s="6"/>
      <c r="F45" s="49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</row>
    <row r="46" spans="1:41" ht="24.75" customHeight="1" x14ac:dyDescent="0.25">
      <c r="A46" s="5"/>
      <c r="B46" s="3"/>
      <c r="C46" s="3"/>
      <c r="D46" s="3"/>
      <c r="E46" s="6"/>
      <c r="F46" s="49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</row>
    <row r="47" spans="1:41" ht="24.75" customHeight="1" x14ac:dyDescent="0.25">
      <c r="A47" s="5"/>
      <c r="B47" s="3"/>
      <c r="C47" s="3"/>
      <c r="D47" s="3"/>
      <c r="E47" s="6"/>
      <c r="F47" s="49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</row>
    <row r="48" spans="1:41" ht="24.75" customHeight="1" x14ac:dyDescent="0.25">
      <c r="A48" s="5"/>
      <c r="B48" s="3"/>
      <c r="C48" s="3"/>
      <c r="D48" s="3"/>
      <c r="E48" s="6"/>
      <c r="F48" s="49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</row>
    <row r="49" spans="1:22" ht="24.75" customHeight="1" x14ac:dyDescent="0.25">
      <c r="A49" s="5"/>
      <c r="B49" s="3"/>
      <c r="C49" s="3"/>
      <c r="D49" s="3"/>
      <c r="E49" s="6"/>
      <c r="F49" s="49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</row>
    <row r="50" spans="1:22" ht="24.75" customHeight="1" x14ac:dyDescent="0.25">
      <c r="A50" s="5"/>
      <c r="B50" s="3"/>
      <c r="C50" s="3"/>
      <c r="D50" s="3"/>
      <c r="E50" s="6"/>
      <c r="F50" s="49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</row>
    <row r="51" spans="1:22" ht="24.75" customHeight="1" x14ac:dyDescent="0.25">
      <c r="A51" s="5"/>
      <c r="B51" s="3"/>
      <c r="C51" s="3"/>
      <c r="D51" s="3"/>
      <c r="E51" s="6"/>
      <c r="F51" s="49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</row>
    <row r="52" spans="1:22" ht="24.75" customHeight="1" x14ac:dyDescent="0.25">
      <c r="A52" s="5"/>
      <c r="B52" s="3"/>
      <c r="C52" s="3"/>
      <c r="D52" s="3"/>
      <c r="E52" s="6"/>
      <c r="F52" s="49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</row>
    <row r="53" spans="1:22" ht="24.75" customHeight="1" x14ac:dyDescent="0.25">
      <c r="A53" s="5"/>
      <c r="B53" s="3"/>
      <c r="C53" s="3"/>
      <c r="D53" s="3"/>
      <c r="E53" s="6"/>
      <c r="F53" s="49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</row>
    <row r="54" spans="1:22" ht="24.75" customHeight="1" x14ac:dyDescent="0.25">
      <c r="A54" s="5"/>
      <c r="B54" s="3"/>
      <c r="C54" s="3"/>
      <c r="D54" s="3"/>
      <c r="E54" s="6"/>
      <c r="F54" s="49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</row>
    <row r="55" spans="1:22" ht="24.75" customHeight="1" x14ac:dyDescent="0.25">
      <c r="A55" s="5"/>
      <c r="B55" s="3"/>
      <c r="C55" s="3"/>
      <c r="D55" s="3"/>
      <c r="E55" s="6"/>
      <c r="F55" s="49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</row>
    <row r="56" spans="1:22" ht="24.75" customHeight="1" x14ac:dyDescent="0.25">
      <c r="A56" s="5"/>
      <c r="B56" s="3"/>
      <c r="C56" s="3"/>
      <c r="D56" s="3"/>
      <c r="E56" s="6"/>
      <c r="F56" s="49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</row>
    <row r="57" spans="1:22" ht="24.75" customHeight="1" x14ac:dyDescent="0.25">
      <c r="A57" s="5"/>
      <c r="B57" s="3"/>
      <c r="C57" s="3"/>
      <c r="D57" s="3"/>
      <c r="E57" s="6"/>
      <c r="F57" s="49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</row>
    <row r="58" spans="1:22" ht="24.75" customHeight="1" x14ac:dyDescent="0.25">
      <c r="A58" s="5"/>
      <c r="B58" s="3"/>
      <c r="C58" s="3"/>
      <c r="D58" s="3"/>
      <c r="E58" s="6"/>
      <c r="F58" s="49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</row>
    <row r="59" spans="1:22" ht="24.75" customHeight="1" x14ac:dyDescent="0.25">
      <c r="A59" s="5"/>
      <c r="B59" s="3"/>
      <c r="C59" s="3"/>
      <c r="D59" s="3"/>
      <c r="E59" s="6"/>
      <c r="F59" s="49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</row>
    <row r="60" spans="1:22" ht="24.75" customHeight="1" x14ac:dyDescent="0.25">
      <c r="A60" s="5"/>
      <c r="B60" s="3"/>
      <c r="C60" s="3"/>
      <c r="D60" s="3"/>
      <c r="E60" s="6"/>
      <c r="F60" s="49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</row>
    <row r="61" spans="1:22" ht="24.75" customHeight="1" x14ac:dyDescent="0.25">
      <c r="A61" s="5"/>
      <c r="B61" s="3"/>
      <c r="C61" s="3"/>
      <c r="D61" s="3"/>
      <c r="E61" s="6"/>
      <c r="F61" s="49"/>
    </row>
    <row r="62" spans="1:22" ht="24.75" customHeight="1" x14ac:dyDescent="0.25">
      <c r="A62" s="5"/>
      <c r="B62" s="3"/>
      <c r="C62" s="3"/>
      <c r="D62" s="3"/>
      <c r="E62" s="6"/>
      <c r="F62" s="49"/>
    </row>
    <row r="63" spans="1:22" ht="24.75" customHeight="1" x14ac:dyDescent="0.25">
      <c r="A63" s="5"/>
      <c r="B63" s="3"/>
      <c r="C63" s="3"/>
      <c r="D63" s="3"/>
      <c r="E63" s="6"/>
      <c r="F63" s="49"/>
    </row>
    <row r="64" spans="1:22" ht="24.75" customHeight="1" x14ac:dyDescent="0.25">
      <c r="A64" s="5"/>
      <c r="B64" s="3"/>
      <c r="C64" s="3"/>
      <c r="D64" s="3"/>
      <c r="E64" s="6"/>
      <c r="F64" s="49"/>
    </row>
    <row r="65" spans="1:6" ht="24.75" customHeight="1" x14ac:dyDescent="0.25">
      <c r="A65" s="5"/>
      <c r="B65" s="3"/>
      <c r="C65" s="3"/>
      <c r="D65" s="3"/>
      <c r="E65" s="6"/>
      <c r="F65" s="49"/>
    </row>
    <row r="66" spans="1:6" ht="24.75" customHeight="1" x14ac:dyDescent="0.25">
      <c r="A66" s="5"/>
      <c r="B66" s="3"/>
      <c r="C66" s="3"/>
      <c r="D66" s="3"/>
      <c r="E66" s="6"/>
      <c r="F66" s="49"/>
    </row>
    <row r="67" spans="1:6" ht="24.75" customHeight="1" x14ac:dyDescent="0.25">
      <c r="A67" s="5"/>
      <c r="B67" s="3"/>
      <c r="C67" s="3"/>
      <c r="D67" s="3"/>
      <c r="E67" s="6"/>
      <c r="F67" s="49"/>
    </row>
    <row r="68" spans="1:6" ht="24.75" customHeight="1" x14ac:dyDescent="0.25">
      <c r="A68" s="5"/>
      <c r="B68" s="3"/>
      <c r="C68" s="3"/>
      <c r="D68" s="3"/>
      <c r="E68" s="6"/>
      <c r="F68" s="49"/>
    </row>
    <row r="69" spans="1:6" ht="24.75" customHeight="1" x14ac:dyDescent="0.25">
      <c r="A69" s="5"/>
      <c r="B69" s="3"/>
      <c r="C69" s="3"/>
      <c r="D69" s="3"/>
      <c r="E69" s="6"/>
      <c r="F69" s="49"/>
    </row>
    <row r="70" spans="1:6" ht="24.75" customHeight="1" x14ac:dyDescent="0.25">
      <c r="A70" s="5"/>
      <c r="B70" s="3"/>
      <c r="C70" s="3"/>
      <c r="D70" s="3"/>
      <c r="E70" s="6"/>
      <c r="F70" s="49"/>
    </row>
    <row r="71" spans="1:6" ht="24.75" customHeight="1" x14ac:dyDescent="0.25">
      <c r="A71" s="5"/>
      <c r="B71" s="3"/>
      <c r="C71" s="3"/>
      <c r="D71" s="3"/>
      <c r="E71" s="6"/>
      <c r="F71" s="49"/>
    </row>
    <row r="72" spans="1:6" ht="24.75" customHeight="1" x14ac:dyDescent="0.25">
      <c r="A72" s="5"/>
      <c r="B72" s="3"/>
      <c r="C72" s="3"/>
      <c r="D72" s="3"/>
      <c r="E72" s="6"/>
      <c r="F72" s="49"/>
    </row>
    <row r="73" spans="1:6" ht="24.75" customHeight="1" x14ac:dyDescent="0.25">
      <c r="A73" s="5"/>
      <c r="B73" s="3"/>
      <c r="C73" s="3"/>
      <c r="D73" s="3"/>
      <c r="E73" s="6"/>
      <c r="F73" s="49"/>
    </row>
    <row r="74" spans="1:6" ht="24.75" customHeight="1" x14ac:dyDescent="0.25">
      <c r="A74" s="5"/>
      <c r="B74" s="3"/>
      <c r="C74" s="3"/>
      <c r="D74" s="3"/>
      <c r="E74" s="6"/>
      <c r="F74" s="49"/>
    </row>
    <row r="75" spans="1:6" ht="24.75" customHeight="1" x14ac:dyDescent="0.25">
      <c r="A75" s="5"/>
      <c r="B75" s="3"/>
      <c r="C75" s="3"/>
      <c r="D75" s="3"/>
      <c r="E75" s="6"/>
      <c r="F75" s="49"/>
    </row>
    <row r="76" spans="1:6" ht="24.75" customHeight="1" x14ac:dyDescent="0.25">
      <c r="A76" s="5"/>
      <c r="B76" s="3"/>
      <c r="C76" s="3"/>
      <c r="D76" s="3"/>
      <c r="E76" s="6"/>
      <c r="F76" s="49"/>
    </row>
    <row r="77" spans="1:6" ht="24.75" customHeight="1" x14ac:dyDescent="0.25">
      <c r="A77" s="5"/>
      <c r="B77" s="3"/>
      <c r="C77" s="3"/>
      <c r="D77" s="3"/>
      <c r="E77" s="6"/>
      <c r="F77" s="49"/>
    </row>
    <row r="78" spans="1:6" ht="24.75" customHeight="1" x14ac:dyDescent="0.25">
      <c r="A78" s="5"/>
      <c r="B78" s="3"/>
      <c r="C78" s="3"/>
      <c r="D78" s="3"/>
      <c r="E78" s="6"/>
      <c r="F78" s="49"/>
    </row>
    <row r="79" spans="1:6" ht="24.75" customHeight="1" x14ac:dyDescent="0.25">
      <c r="A79" s="5"/>
      <c r="B79" s="3"/>
      <c r="C79" s="3"/>
      <c r="D79" s="3"/>
      <c r="E79" s="6"/>
      <c r="F79" s="49"/>
    </row>
    <row r="80" spans="1:6" ht="24.75" customHeight="1" x14ac:dyDescent="0.25">
      <c r="A80" s="5"/>
      <c r="B80" s="3"/>
      <c r="C80" s="3"/>
      <c r="D80" s="3"/>
      <c r="E80" s="6"/>
      <c r="F80" s="49"/>
    </row>
    <row r="81" spans="1:6" ht="24.75" customHeight="1" x14ac:dyDescent="0.25">
      <c r="A81" s="5"/>
      <c r="B81" s="3"/>
      <c r="C81" s="3"/>
      <c r="D81" s="3"/>
      <c r="E81" s="6"/>
      <c r="F81" s="49"/>
    </row>
    <row r="82" spans="1:6" ht="24.75" customHeight="1" x14ac:dyDescent="0.25">
      <c r="A82" s="5"/>
      <c r="B82" s="3"/>
      <c r="C82" s="3"/>
      <c r="D82" s="3"/>
      <c r="E82" s="6"/>
      <c r="F82" s="49"/>
    </row>
    <row r="83" spans="1:6" ht="24.75" customHeight="1" x14ac:dyDescent="0.25">
      <c r="A83" s="5"/>
      <c r="B83" s="3"/>
      <c r="C83" s="3"/>
      <c r="D83" s="3"/>
      <c r="E83" s="6"/>
      <c r="F83" s="49"/>
    </row>
    <row r="84" spans="1:6" ht="24.75" customHeight="1" x14ac:dyDescent="0.25">
      <c r="A84" s="5"/>
      <c r="B84" s="3"/>
      <c r="C84" s="3"/>
      <c r="D84" s="3"/>
      <c r="E84" s="6"/>
      <c r="F84" s="49"/>
    </row>
    <row r="85" spans="1:6" ht="24.75" customHeight="1" x14ac:dyDescent="0.25">
      <c r="A85" s="5"/>
      <c r="B85" s="3"/>
      <c r="C85" s="3"/>
      <c r="D85" s="3"/>
      <c r="E85" s="6"/>
      <c r="F85" s="49"/>
    </row>
    <row r="86" spans="1:6" ht="24.75" customHeight="1" x14ac:dyDescent="0.25">
      <c r="A86" s="5"/>
      <c r="B86" s="3"/>
      <c r="C86" s="3"/>
      <c r="D86" s="3"/>
      <c r="E86" s="6"/>
      <c r="F86" s="49"/>
    </row>
    <row r="87" spans="1:6" ht="24.75" customHeight="1" x14ac:dyDescent="0.25">
      <c r="A87" s="5"/>
      <c r="B87" s="3"/>
      <c r="C87" s="3"/>
      <c r="D87" s="3"/>
      <c r="E87" s="6"/>
      <c r="F87" s="49"/>
    </row>
    <row r="88" spans="1:6" ht="24.75" customHeight="1" x14ac:dyDescent="0.25">
      <c r="A88" s="5"/>
      <c r="B88" s="3"/>
      <c r="C88" s="3"/>
      <c r="D88" s="3"/>
      <c r="E88" s="6"/>
      <c r="F88" s="49"/>
    </row>
    <row r="89" spans="1:6" ht="24.75" customHeight="1" x14ac:dyDescent="0.25">
      <c r="A89" s="5"/>
      <c r="B89" s="3"/>
      <c r="C89" s="3"/>
      <c r="D89" s="3"/>
      <c r="E89" s="6"/>
      <c r="F89" s="49"/>
    </row>
    <row r="90" spans="1:6" ht="24.75" customHeight="1" x14ac:dyDescent="0.25">
      <c r="A90" s="5"/>
      <c r="B90" s="3"/>
      <c r="C90" s="3"/>
      <c r="D90" s="3"/>
      <c r="E90" s="6"/>
      <c r="F90" s="49"/>
    </row>
    <row r="91" spans="1:6" ht="24.75" customHeight="1" x14ac:dyDescent="0.25">
      <c r="A91" s="5"/>
      <c r="B91" s="3"/>
      <c r="C91" s="3"/>
      <c r="D91" s="3"/>
      <c r="E91" s="6"/>
      <c r="F91" s="49"/>
    </row>
    <row r="92" spans="1:6" ht="24.75" customHeight="1" x14ac:dyDescent="0.25">
      <c r="A92" s="5"/>
      <c r="B92" s="3"/>
      <c r="C92" s="3"/>
      <c r="D92" s="3"/>
      <c r="E92" s="6"/>
      <c r="F92" s="49"/>
    </row>
    <row r="93" spans="1:6" ht="24.75" customHeight="1" x14ac:dyDescent="0.25">
      <c r="A93" s="5"/>
      <c r="B93" s="3"/>
      <c r="C93" s="3"/>
      <c r="D93" s="3"/>
      <c r="E93" s="6"/>
      <c r="F93" s="49"/>
    </row>
    <row r="94" spans="1:6" ht="24.75" customHeight="1" x14ac:dyDescent="0.25">
      <c r="A94" s="5"/>
      <c r="B94" s="3"/>
      <c r="C94" s="3"/>
      <c r="D94" s="3"/>
      <c r="E94" s="6"/>
      <c r="F94" s="49"/>
    </row>
    <row r="95" spans="1:6" ht="24.75" customHeight="1" x14ac:dyDescent="0.25">
      <c r="A95" s="5"/>
      <c r="B95" s="3"/>
      <c r="C95" s="3"/>
      <c r="D95" s="3"/>
      <c r="E95" s="6"/>
      <c r="F95" s="49"/>
    </row>
    <row r="96" spans="1:6" ht="24.75" customHeight="1" x14ac:dyDescent="0.25">
      <c r="A96" s="5"/>
      <c r="B96" s="3"/>
      <c r="C96" s="3"/>
      <c r="D96" s="3"/>
      <c r="E96" s="6"/>
      <c r="F96" s="49"/>
    </row>
    <row r="97" spans="1:6" ht="24.75" customHeight="1" x14ac:dyDescent="0.25">
      <c r="A97" s="5"/>
      <c r="B97" s="3"/>
      <c r="C97" s="3"/>
      <c r="D97" s="3"/>
      <c r="E97" s="6"/>
      <c r="F97" s="49"/>
    </row>
    <row r="98" spans="1:6" ht="24.75" customHeight="1" x14ac:dyDescent="0.25">
      <c r="A98" s="5"/>
      <c r="B98" s="3"/>
      <c r="C98" s="3"/>
      <c r="D98" s="3"/>
      <c r="E98" s="6"/>
      <c r="F98" s="49"/>
    </row>
    <row r="99" spans="1:6" ht="24.75" customHeight="1" x14ac:dyDescent="0.25">
      <c r="A99" s="5"/>
      <c r="B99" s="3"/>
      <c r="C99" s="3"/>
      <c r="D99" s="3"/>
      <c r="E99" s="6"/>
      <c r="F99" s="49"/>
    </row>
    <row r="100" spans="1:6" ht="24.75" customHeight="1" x14ac:dyDescent="0.25">
      <c r="A100" s="5"/>
      <c r="B100" s="3"/>
      <c r="C100" s="3"/>
      <c r="D100" s="3"/>
      <c r="E100" s="6"/>
      <c r="F100" s="49"/>
    </row>
    <row r="101" spans="1:6" ht="24.75" customHeight="1" x14ac:dyDescent="0.25">
      <c r="A101" s="5"/>
      <c r="B101" s="3"/>
      <c r="C101" s="3"/>
      <c r="D101" s="3"/>
      <c r="E101" s="6"/>
      <c r="F101" s="49"/>
    </row>
    <row r="102" spans="1:6" ht="24.75" customHeight="1" x14ac:dyDescent="0.25">
      <c r="A102" s="5"/>
      <c r="B102" s="3"/>
      <c r="C102" s="3"/>
      <c r="D102" s="3"/>
      <c r="E102" s="6"/>
      <c r="F102" s="49"/>
    </row>
    <row r="103" spans="1:6" ht="24.75" customHeight="1" x14ac:dyDescent="0.25">
      <c r="A103" s="5"/>
      <c r="B103" s="3"/>
      <c r="C103" s="3"/>
      <c r="D103" s="3"/>
      <c r="E103" s="6"/>
      <c r="F103" s="49"/>
    </row>
    <row r="104" spans="1:6" ht="24.75" customHeight="1" x14ac:dyDescent="0.25">
      <c r="A104" s="5"/>
      <c r="B104" s="3"/>
      <c r="C104" s="3"/>
      <c r="D104" s="3"/>
      <c r="E104" s="6"/>
      <c r="F104" s="49"/>
    </row>
    <row r="105" spans="1:6" ht="24.75" customHeight="1" x14ac:dyDescent="0.25">
      <c r="A105" s="5"/>
      <c r="B105" s="3"/>
      <c r="C105" s="3"/>
      <c r="D105" s="3"/>
      <c r="E105" s="6"/>
      <c r="F105" s="49"/>
    </row>
  </sheetData>
  <mergeCells count="21">
    <mergeCell ref="H13:I13"/>
    <mergeCell ref="K30:L30"/>
    <mergeCell ref="K18:L18"/>
    <mergeCell ref="K25:L25"/>
    <mergeCell ref="K24:L24"/>
    <mergeCell ref="K32:L32"/>
    <mergeCell ref="K31:L31"/>
    <mergeCell ref="K27:L27"/>
    <mergeCell ref="K29:L29"/>
    <mergeCell ref="R8:T8"/>
    <mergeCell ref="K14:L14"/>
    <mergeCell ref="K17:L17"/>
    <mergeCell ref="K10:L10"/>
    <mergeCell ref="K28:L28"/>
    <mergeCell ref="K19:L19"/>
    <mergeCell ref="K15:L15"/>
    <mergeCell ref="K9:L9"/>
    <mergeCell ref="K26:L26"/>
    <mergeCell ref="K11:L11"/>
    <mergeCell ref="K20:L20"/>
    <mergeCell ref="K16:L16"/>
  </mergeCells>
  <conditionalFormatting sqref="M19">
    <cfRule type="cellIs" dxfId="205" priority="5" operator="lessThan">
      <formula>0</formula>
    </cfRule>
    <cfRule type="cellIs" dxfId="204" priority="6" operator="greaterThanOrEqual">
      <formula>0</formula>
    </cfRule>
  </conditionalFormatting>
  <conditionalFormatting sqref="M32">
    <cfRule type="cellIs" dxfId="203" priority="7" operator="equal">
      <formula>"di atas kebiasaan"</formula>
    </cfRule>
    <cfRule type="cellIs" dxfId="202" priority="8" operator="equal">
      <formula>"di bawah kebiasaan"</formula>
    </cfRule>
  </conditionalFormatting>
  <conditionalFormatting sqref="U12:U15">
    <cfRule type="cellIs" dxfId="201" priority="9" operator="greaterThan">
      <formula>0</formula>
    </cfRule>
    <cfRule type="cellIs" dxfId="200" priority="10" operator="lessThan">
      <formula>0</formula>
    </cfRule>
  </conditionalFormatting>
  <conditionalFormatting sqref="U19:U23">
    <cfRule type="cellIs" dxfId="199" priority="11" operator="greaterThan">
      <formula>0</formula>
    </cfRule>
    <cfRule type="cellIs" dxfId="198" priority="12" operator="lessThan">
      <formula>0</formula>
    </cfRule>
  </conditionalFormatting>
  <conditionalFormatting sqref="B6:B505">
    <cfRule type="expression" dxfId="197" priority="13" stopIfTrue="1">
      <formula>TRIM($B6)="Pengeluaran"</formula>
    </cfRule>
    <cfRule type="expression" dxfId="196" priority="14" stopIfTrue="1">
      <formula>TRIM($B6)="Pemasukan"</formula>
    </cfRule>
  </conditionalFormatting>
  <dataValidations count="3">
    <dataValidation type="list" errorStyle="warning" allowBlank="1" errorTitle="Di luar daftar" error="Nilai ini tidak ada di sheet Master. Tetap pakai?" sqref="B6:B505" xr:uid="{00000000-0002-0000-0C00-000000000000}">
      <formula1>ListTipe</formula1>
    </dataValidation>
    <dataValidation type="list" errorStyle="warning" allowBlank="1" errorTitle="Di luar daftar" error="Nilai ini tidak ada di sheet Master. Tetap pakai?" sqref="C6:C505" xr:uid="{00000000-0002-0000-0C00-000001000000}">
      <formula1>ListPembayaran</formula1>
    </dataValidation>
    <dataValidation type="list" errorStyle="warning" allowBlank="1" errorTitle="Di luar daftar" error="Nilai ini tidak ada di sheet Master. Tetap pakai?" sqref="D6:D505" xr:uid="{00000000-0002-0000-0C00-000002000000}">
      <formula1>ListKategori</formula1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5" name="Button 1">
              <controlPr defaultSize="0" print="0" autoFill="0" autoPict="0" macro="TambahBarisBaru_ActiveSheet">
                <anchor moveWithCells="1" sizeWithCells="1">
                  <from>
                    <xdr:col>4</xdr:col>
                    <xdr:colOff>1457325</xdr:colOff>
                    <xdr:row>1</xdr:row>
                    <xdr:rowOff>285750</xdr:rowOff>
                  </from>
                  <to>
                    <xdr:col>5</xdr:col>
                    <xdr:colOff>3038475</xdr:colOff>
                    <xdr:row>3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A1:I35"/>
  <sheetViews>
    <sheetView topLeftCell="A12" workbookViewId="0">
      <selection activeCell="C26" sqref="C26"/>
    </sheetView>
  </sheetViews>
  <sheetFormatPr defaultRowHeight="15" x14ac:dyDescent="0.25"/>
  <cols>
    <col min="1" max="1" width="20" customWidth="1"/>
    <col min="2" max="2" width="14" customWidth="1"/>
    <col min="3" max="3" width="16" customWidth="1"/>
    <col min="5" max="5" width="14" customWidth="1"/>
    <col min="7" max="7" width="20" customWidth="1"/>
    <col min="9" max="9" width="92" customWidth="1"/>
  </cols>
  <sheetData>
    <row r="1" spans="1:9" ht="18.75" customHeight="1" x14ac:dyDescent="0.3">
      <c r="A1" s="21" t="s">
        <v>103</v>
      </c>
    </row>
    <row r="2" spans="1:9" x14ac:dyDescent="0.25">
      <c r="A2" s="22" t="s">
        <v>104</v>
      </c>
    </row>
    <row r="4" spans="1:9" ht="18.75" customHeight="1" x14ac:dyDescent="0.3">
      <c r="A4" s="27" t="s">
        <v>25</v>
      </c>
      <c r="B4" s="27" t="s">
        <v>105</v>
      </c>
      <c r="C4" s="27" t="s">
        <v>106</v>
      </c>
      <c r="E4" s="27" t="s">
        <v>65</v>
      </c>
      <c r="G4" s="27" t="s">
        <v>107</v>
      </c>
      <c r="I4" s="21" t="s">
        <v>108</v>
      </c>
    </row>
    <row r="5" spans="1:9" x14ac:dyDescent="0.25">
      <c r="A5" s="24" t="s">
        <v>120</v>
      </c>
      <c r="B5" s="24" t="s">
        <v>4</v>
      </c>
      <c r="C5" s="31">
        <v>100000</v>
      </c>
      <c r="E5" s="24" t="s">
        <v>4</v>
      </c>
      <c r="G5" s="24" t="s">
        <v>151</v>
      </c>
      <c r="I5" s="22" t="s">
        <v>109</v>
      </c>
    </row>
    <row r="6" spans="1:9" x14ac:dyDescent="0.25">
      <c r="A6" s="24" t="s">
        <v>121</v>
      </c>
      <c r="B6" s="24" t="s">
        <v>4</v>
      </c>
      <c r="C6" s="31">
        <v>200000</v>
      </c>
      <c r="E6" s="24" t="s">
        <v>3</v>
      </c>
      <c r="G6" s="24" t="s">
        <v>152</v>
      </c>
      <c r="I6" s="22" t="s">
        <v>110</v>
      </c>
    </row>
    <row r="7" spans="1:9" x14ac:dyDescent="0.25">
      <c r="A7" s="24" t="s">
        <v>122</v>
      </c>
      <c r="B7" s="24" t="s">
        <v>4</v>
      </c>
      <c r="C7" s="31">
        <v>300000</v>
      </c>
      <c r="G7" s="24" t="s">
        <v>153</v>
      </c>
      <c r="I7" s="22" t="s">
        <v>111</v>
      </c>
    </row>
    <row r="8" spans="1:9" x14ac:dyDescent="0.25">
      <c r="A8" s="24" t="s">
        <v>123</v>
      </c>
      <c r="B8" s="24" t="s">
        <v>4</v>
      </c>
      <c r="C8" s="31">
        <v>400000</v>
      </c>
      <c r="G8" s="24" t="s">
        <v>154</v>
      </c>
      <c r="I8" s="22" t="s">
        <v>112</v>
      </c>
    </row>
    <row r="9" spans="1:9" x14ac:dyDescent="0.25">
      <c r="A9" s="24" t="s">
        <v>124</v>
      </c>
      <c r="B9" s="24" t="s">
        <v>4</v>
      </c>
      <c r="C9" s="31">
        <v>500000</v>
      </c>
      <c r="G9" s="24" t="s">
        <v>155</v>
      </c>
      <c r="I9" s="22" t="s">
        <v>113</v>
      </c>
    </row>
    <row r="10" spans="1:9" x14ac:dyDescent="0.25">
      <c r="A10" s="24" t="s">
        <v>125</v>
      </c>
      <c r="B10" s="24" t="s">
        <v>4</v>
      </c>
      <c r="C10" s="31">
        <v>600000</v>
      </c>
      <c r="G10" s="24" t="s">
        <v>156</v>
      </c>
      <c r="I10" s="22" t="s">
        <v>114</v>
      </c>
    </row>
    <row r="11" spans="1:9" x14ac:dyDescent="0.25">
      <c r="A11" s="24" t="s">
        <v>126</v>
      </c>
      <c r="B11" s="24" t="s">
        <v>4</v>
      </c>
      <c r="C11" s="31">
        <v>700000</v>
      </c>
      <c r="G11" s="24" t="s">
        <v>157</v>
      </c>
      <c r="I11" s="22" t="s">
        <v>115</v>
      </c>
    </row>
    <row r="12" spans="1:9" x14ac:dyDescent="0.25">
      <c r="A12" s="24" t="s">
        <v>127</v>
      </c>
      <c r="B12" s="24" t="s">
        <v>4</v>
      </c>
      <c r="C12" s="31">
        <v>800000</v>
      </c>
      <c r="G12" s="24" t="s">
        <v>158</v>
      </c>
      <c r="I12" s="22" t="s">
        <v>116</v>
      </c>
    </row>
    <row r="13" spans="1:9" x14ac:dyDescent="0.25">
      <c r="A13" s="24" t="s">
        <v>128</v>
      </c>
      <c r="B13" s="24" t="s">
        <v>4</v>
      </c>
      <c r="C13" s="31">
        <v>900000</v>
      </c>
      <c r="I13" s="22" t="s">
        <v>117</v>
      </c>
    </row>
    <row r="14" spans="1:9" x14ac:dyDescent="0.25">
      <c r="A14" s="24" t="s">
        <v>129</v>
      </c>
      <c r="B14" s="24" t="s">
        <v>4</v>
      </c>
      <c r="C14" s="31">
        <v>1000000</v>
      </c>
    </row>
    <row r="15" spans="1:9" x14ac:dyDescent="0.25">
      <c r="A15" s="24" t="s">
        <v>130</v>
      </c>
      <c r="B15" s="24" t="s">
        <v>4</v>
      </c>
      <c r="C15" s="31">
        <v>1100000</v>
      </c>
    </row>
    <row r="16" spans="1:9" x14ac:dyDescent="0.25">
      <c r="A16" s="24" t="s">
        <v>131</v>
      </c>
      <c r="B16" s="24" t="s">
        <v>4</v>
      </c>
      <c r="C16" s="31">
        <v>1200000</v>
      </c>
    </row>
    <row r="17" spans="1:3" x14ac:dyDescent="0.25">
      <c r="A17" s="24" t="s">
        <v>132</v>
      </c>
      <c r="B17" s="24" t="s">
        <v>4</v>
      </c>
      <c r="C17" s="31">
        <v>1300000</v>
      </c>
    </row>
    <row r="18" spans="1:3" x14ac:dyDescent="0.25">
      <c r="A18" s="24" t="s">
        <v>133</v>
      </c>
      <c r="B18" s="24" t="s">
        <v>4</v>
      </c>
      <c r="C18" s="31">
        <v>1400000</v>
      </c>
    </row>
    <row r="19" spans="1:3" x14ac:dyDescent="0.25">
      <c r="A19" s="24" t="s">
        <v>134</v>
      </c>
      <c r="B19" s="24" t="s">
        <v>4</v>
      </c>
      <c r="C19" s="31">
        <v>1500000</v>
      </c>
    </row>
    <row r="20" spans="1:3" x14ac:dyDescent="0.25">
      <c r="A20" s="24" t="s">
        <v>135</v>
      </c>
      <c r="B20" s="24" t="s">
        <v>4</v>
      </c>
      <c r="C20" s="31">
        <v>1600000</v>
      </c>
    </row>
    <row r="21" spans="1:3" x14ac:dyDescent="0.25">
      <c r="A21" s="24" t="s">
        <v>136</v>
      </c>
      <c r="B21" s="24" t="s">
        <v>4</v>
      </c>
      <c r="C21" s="31">
        <v>1700000</v>
      </c>
    </row>
    <row r="22" spans="1:3" x14ac:dyDescent="0.25">
      <c r="A22" s="24" t="s">
        <v>137</v>
      </c>
      <c r="B22" s="24" t="s">
        <v>4</v>
      </c>
      <c r="C22" s="31">
        <v>1800000</v>
      </c>
    </row>
    <row r="23" spans="1:3" x14ac:dyDescent="0.25">
      <c r="A23" s="24" t="s">
        <v>138</v>
      </c>
      <c r="B23" s="24" t="s">
        <v>4</v>
      </c>
      <c r="C23" s="31">
        <v>1900000</v>
      </c>
    </row>
    <row r="24" spans="1:3" x14ac:dyDescent="0.25">
      <c r="A24" s="24" t="s">
        <v>139</v>
      </c>
      <c r="B24" s="24" t="s">
        <v>4</v>
      </c>
      <c r="C24" s="31">
        <v>2000000</v>
      </c>
    </row>
    <row r="25" spans="1:3" x14ac:dyDescent="0.25">
      <c r="A25" s="24" t="s">
        <v>140</v>
      </c>
      <c r="B25" s="24" t="s">
        <v>4</v>
      </c>
      <c r="C25" s="31">
        <v>2100000</v>
      </c>
    </row>
    <row r="26" spans="1:3" s="50" customFormat="1" x14ac:dyDescent="0.25">
      <c r="A26" s="24" t="s">
        <v>141</v>
      </c>
      <c r="B26" s="24" t="s">
        <v>4</v>
      </c>
      <c r="C26" s="31">
        <v>2200000</v>
      </c>
    </row>
    <row r="27" spans="1:3" x14ac:dyDescent="0.25">
      <c r="A27" s="24" t="s">
        <v>142</v>
      </c>
      <c r="B27" s="24" t="s">
        <v>4</v>
      </c>
      <c r="C27" s="31">
        <v>2300000</v>
      </c>
    </row>
    <row r="28" spans="1:3" x14ac:dyDescent="0.25">
      <c r="A28" s="24" t="s">
        <v>143</v>
      </c>
      <c r="B28" s="24" t="s">
        <v>4</v>
      </c>
      <c r="C28" s="31">
        <v>2400000</v>
      </c>
    </row>
    <row r="29" spans="1:3" x14ac:dyDescent="0.25">
      <c r="A29" s="24" t="s">
        <v>144</v>
      </c>
      <c r="B29" s="24" t="s">
        <v>3</v>
      </c>
      <c r="C29" s="24"/>
    </row>
    <row r="30" spans="1:3" x14ac:dyDescent="0.25">
      <c r="A30" s="24" t="s">
        <v>145</v>
      </c>
      <c r="B30" s="24" t="s">
        <v>3</v>
      </c>
      <c r="C30" s="24"/>
    </row>
    <row r="31" spans="1:3" x14ac:dyDescent="0.25">
      <c r="A31" s="24" t="s">
        <v>146</v>
      </c>
      <c r="B31" s="24" t="s">
        <v>3</v>
      </c>
      <c r="C31" s="24"/>
    </row>
    <row r="32" spans="1:3" x14ac:dyDescent="0.25">
      <c r="A32" s="24" t="s">
        <v>147</v>
      </c>
      <c r="B32" s="24" t="s">
        <v>3</v>
      </c>
      <c r="C32" s="24"/>
    </row>
    <row r="33" spans="1:3" x14ac:dyDescent="0.25">
      <c r="A33" s="24" t="s">
        <v>148</v>
      </c>
      <c r="B33" s="24" t="s">
        <v>3</v>
      </c>
      <c r="C33" s="24"/>
    </row>
    <row r="34" spans="1:3" x14ac:dyDescent="0.25">
      <c r="A34" s="24" t="s">
        <v>149</v>
      </c>
      <c r="B34" s="24" t="s">
        <v>3</v>
      </c>
      <c r="C34" s="24"/>
    </row>
    <row r="35" spans="1:3" x14ac:dyDescent="0.25">
      <c r="A35" s="24" t="s">
        <v>150</v>
      </c>
      <c r="B35" s="24" t="s">
        <v>3</v>
      </c>
      <c r="C35" s="24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Rekap</vt:lpstr>
      <vt:lpstr>Jan</vt:lpstr>
      <vt:lpstr>Feb</vt:lpstr>
      <vt:lpstr>Mar</vt:lpstr>
      <vt:lpstr>April</vt:lpstr>
      <vt:lpstr>May</vt:lpstr>
      <vt:lpstr>June</vt:lpstr>
      <vt:lpstr>July</vt:lpstr>
      <vt:lpstr>Aug</vt:lpstr>
      <vt:lpstr>Sep</vt:lpstr>
      <vt:lpstr>Okt</vt:lpstr>
      <vt:lpstr>Nov</vt:lpstr>
      <vt:lpstr>Des</vt:lpstr>
      <vt:lpstr>Master</vt:lpstr>
      <vt:lpstr>ListTipe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oreProperties xmlns="http://schemas.openxmlformats.org/package/2006/metadata/core-properties" xmlns:dc="http://purl.org/dc/elements/1.1/" xmlns:dcterms="http://purl.org/dc/terms/" xmlns:xsi="http://www.w3.org/2001/XMLSchema-instance">
  <dc:creator>Lajur Test Fixture</dc:creator>
  <lastModifiedBy>Lajur Test Fixture</lastModifiedBy>
  <dcterms:created xsi:type="dcterms:W3CDTF">2025-05-17T07:27:06Z</dcterms:created>
  <dcterms:modified xsi:type="dcterms:W3CDTF">2026-09-19T16:16:52Z</dcterms:modified>
</coreProperties>
</file>